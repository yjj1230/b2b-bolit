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e6f6f6a2f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摘要" sheetId="1" r:id="Ra572e79294124877"/>
    <x:sheet xmlns:r="http://schemas.openxmlformats.org/officeDocument/2006/relationships" name="R1取证台账" sheetId="2" r:id="R46e84108c7a646d4"/>
    <x:sheet xmlns:r="http://schemas.openxmlformats.org/officeDocument/2006/relationships" name="版本核验" sheetId="3" r:id="Re242b0b6f32746b7"/>
    <x:sheet xmlns:r="http://schemas.openxmlformats.org/officeDocument/2006/relationships" name="发布门" sheetId="4" r:id="R3944e81e515a4219"/>
    <x:sheet xmlns:r="http://schemas.openxmlformats.org/officeDocument/2006/relationships" name="部署拓扑" sheetId="5" r:id="Rdc07adb0b9a943f7"/>
    <x:sheet xmlns:r="http://schemas.openxmlformats.org/officeDocument/2006/relationships" name="基础五元组" sheetId="6" r:id="Re36fe18a648f4b42"/>
    <x:sheet xmlns:r="http://schemas.openxmlformats.org/officeDocument/2006/relationships" name="生产基线" sheetId="7" r:id="R2f96b63fe73b444a"/>
    <x:sheet xmlns:r="http://schemas.openxmlformats.org/officeDocument/2006/relationships" name="状态分布" sheetId="8" r:id="Rea3853facbb04d96"/>
    <x:sheet xmlns:r="http://schemas.openxmlformats.org/officeDocument/2006/relationships" name="JSONL底账" sheetId="9" r:id="R9e956d3977bf42d1"/>
    <x:sheet xmlns:r="http://schemas.openxmlformats.org/officeDocument/2006/relationships" name="附件目录基线" sheetId="10" r:id="Rc29527e0c98948fd"/>
    <x:sheet xmlns:r="http://schemas.openxmlformats.org/officeDocument/2006/relationships" name="文件引用基线" sheetId="11" r:id="Rae85c665c7fd4f92"/>
    <x:sheet xmlns:r="http://schemas.openxmlformats.org/officeDocument/2006/relationships" name="异常清单" sheetId="12" r:id="Rc9f5a4bd21464edc"/>
    <x:sheet xmlns:r="http://schemas.openxmlformats.org/officeDocument/2006/relationships" name="证据缺口" sheetId="13" r:id="Refaa6a6d2267453a"/>
  </x:sheets>
</x:workbook>
</file>

<file path=xl/comments1.xml><?xml version="1.0" encoding="utf-8"?>
<x:comments xmlns:x="http://schemas.openxmlformats.org/spreadsheetml/2006/main">
  <x:authors>
    <x:author>tc={FBBC7F98-8D7B-02B8-3DAF-95E3A70914E6}</x:author>
    <x:author>tc={169365E2-CB41-A403-BDB3-F586AB3E645C}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版本判断依据：2026-08-19 20:08 重新拉取 main@a42a115，并对生产正式部署范围逐文件计算 SHA-256。102 个运行源码、配置样例和业务模板全部一致；历史备份源码不纳入部署清单。</x:t>
        </x:r>
      </x:text>
    </x:comment>
    <x:comment ref="F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pgAPI 当前架构依据：customers/products/purchase-contracts 三个读接口，以及 rhcrm-core-sync、rhcrm-contract-sync 的 systemd 配置与最近成功日志。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:ss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5C6B7A"/>
      <x:name val="Carlito"/>
    </x:font>
    <x:font>
      <x:b/>
      <x:sz val="16"/>
      <x:color rgb="FFC62828"/>
      <x:name val="Carlito"/>
    </x:font>
    <x:font>
      <x:b/>
      <x:sz val="11"/>
      <x:color rgb="FF5C6B7A"/>
      <x:name val="Carlito"/>
    </x:font>
    <x:font>
      <x:b/>
      <x:sz val="20"/>
      <x:color rgb="FF0F7B4F"/>
      <x:name val="Carlito"/>
    </x:font>
    <x:font>
      <x:b/>
      <x:sz val="20"/>
      <x:color rgb="FFB45309"/>
      <x:name val="Carlito"/>
    </x:font>
    <x:font>
      <x:b/>
      <x:sz val="20"/>
      <x:color rgb="FFC62828"/>
      <x:name val="Carlito"/>
    </x:font>
    <x:font>
      <x:b/>
      <x:sz val="20"/>
      <x:color rgb="FF2563EB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17212B"/>
      <x:name val="Carlito"/>
    </x:font>
    <x:font>
      <x:sz val="10"/>
      <x:color rgb="FF17212B"/>
      <x:name val="Carlito"/>
    </x:font>
    <x:font>
      <x:b/>
      <x:sz val="10"/>
      <x:color rgb="FFB4530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7"/>
      </x:patternFill>
    </x:fill>
    <x:fill>
      <x:patternFill patternType="solid">
        <x:fgColor rgb="FFFDECEC"/>
      </x:patternFill>
    </x:fill>
    <x:fill>
      <x:patternFill patternType="solid">
        <x:fgColor rgb="FFE9EEF3"/>
      </x:patternFill>
    </x:fill>
    <x:fill>
      <x:patternFill patternType="solid">
        <x:fgColor rgb="FFE9F7EF"/>
      </x:patternFill>
    </x:fill>
    <x:fill>
      <x:patternFill patternType="solid">
        <x:fgColor rgb="FFFFF4D6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3F6F8"/>
      </x:patternFill>
    </x:fill>
  </x:fills>
  <x:borders count="7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2" xfId="0" applyNumberFormat="1" applyFont="1" applyFill="1" applyBorder="1" applyAlignment="1">
      <x:alignment vertical="top" wrapText="1"/>
    </x:xf>
    <x:xf numFmtId="0" fontId="10" fillId="8" borderId="3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horizontal="center" vertical="top" wrapText="1"/>
    </x:xf>
    <x:xf numFmtId="0" fontId="10" fillId="8" borderId="2" xfId="0" applyNumberFormat="1" applyFont="1" applyFill="1" applyBorder="1" applyAlignment="1">
      <x:alignment horizontal="center" vertical="top" wrapText="1"/>
    </x:xf>
    <x:xf numFmtId="0" fontId="10" fillId="8" borderId="3" xfId="0" applyNumberFormat="1" applyFont="1" applyFill="1" applyBorder="1" applyAlignment="1">
      <x:alignment horizontal="center"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9" fillId="9" borderId="4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4" xfId="0" applyNumberFormat="1" applyFont="1" applyFill="1" applyBorder="1" applyAlignment="1">
      <x:alignment wrapText="1"/>
    </x:xf>
    <x:xf numFmtId="0" fontId="9" fillId="9" borderId="5" xfId="0" applyNumberFormat="1" applyFont="1" applyFill="1" applyBorder="1" applyAlignment="1">
      <x:alignment wrapText="1"/>
    </x:xf>
    <x:xf numFmtId="0" fontId="9" fillId="9" borderId="6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2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0" fontId="12" fillId="0" borderId="2" xfId="0" applyNumberFormat="1" applyFont="1" applyFill="1" applyBorder="1" applyAlignment="1">
      <x:alignment vertical="top" wrapText="1"/>
    </x:xf>
    <x:xf numFmtId="0" fontId="12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horizontal="center" vertical="top" wrapText="1"/>
    </x:xf>
    <x:xf numFmtId="0" fontId="12" fillId="10" borderId="2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horizontal="center" vertical="top" wrapText="1"/>
    </x:xf>
    <x:xf numFmtId="0" fontId="12" fillId="7" borderId="2" xfId="0" applyNumberFormat="1" applyFont="1" applyFill="1" applyBorder="1" applyAlignment="1">
      <x:alignment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13" fillId="7" borderId="2" xfId="0" applyNumberFormat="1" applyFont="1" applyFill="1" applyBorder="1" applyAlignment="1">
      <x:alignment horizontal="center"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201" fontId="1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0F7B4F"/>
      </x:font>
      <x:fill>
        <x:patternFill patternType="solid">
          <x:bgColor rgb="FFE9F7E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0F7B4F"/>
      </x:font>
      <x:fill>
        <x:patternFill patternType="solid">
          <x:bgColor rgb="FFE9F7E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0F7B4F"/>
      </x:font>
      <x:fill>
        <x:patternFill patternType="solid">
          <x:bgColor rgb="FFE9F7E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0F7B4F"/>
      </x:font>
      <x:fill>
        <x:patternFill patternType="solid">
          <x:bgColor rgb="FFE9F7E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0F7B4F"/>
      </x:font>
      <x:fill>
        <x:patternFill patternType="solid">
          <x:bgColor rgb="FFE9F7E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315b8000f4d53" /><Relationship Type="http://schemas.openxmlformats.org/officeDocument/2006/relationships/theme" Target="/xl/theme/theme1.xml" Id="R00b7adf33a3c4161" /><Relationship Type="http://schemas.openxmlformats.org/officeDocument/2006/relationships/sharedStrings" Target="/xl/sharedStrings.xml" Id="R5826b38b8f0844d7" /><Relationship Type="http://schemas.openxmlformats.org/officeDocument/2006/relationships/worksheet" Target="/xl/worksheets/sheet1.xml" Id="Ra572e79294124877" /><Relationship Type="http://schemas.openxmlformats.org/officeDocument/2006/relationships/worksheet" Target="/xl/worksheets/sheet2.xml" Id="R46e84108c7a646d4" /><Relationship Type="http://schemas.openxmlformats.org/officeDocument/2006/relationships/worksheet" Target="/xl/worksheets/sheet3.xml" Id="Re242b0b6f32746b7" /><Relationship Type="http://schemas.openxmlformats.org/officeDocument/2006/relationships/worksheet" Target="/xl/worksheets/sheet4.xml" Id="R3944e81e515a4219" /><Relationship Type="http://schemas.openxmlformats.org/officeDocument/2006/relationships/worksheet" Target="/xl/worksheets/sheet5.xml" Id="Rdc07adb0b9a943f7" /><Relationship Type="http://schemas.openxmlformats.org/officeDocument/2006/relationships/worksheet" Target="/xl/worksheets/sheet6.xml" Id="Re36fe18a648f4b42" /><Relationship Type="http://schemas.openxmlformats.org/officeDocument/2006/relationships/worksheet" Target="/xl/worksheets/sheet7.xml" Id="R2f96b63fe73b444a" /><Relationship Type="http://schemas.openxmlformats.org/officeDocument/2006/relationships/worksheet" Target="/xl/worksheets/sheet8.xml" Id="Rea3853facbb04d96" /><Relationship Type="http://schemas.openxmlformats.org/officeDocument/2006/relationships/worksheet" Target="/xl/worksheets/sheet9.xml" Id="R9e956d3977bf42d1" /><Relationship Type="http://schemas.openxmlformats.org/officeDocument/2006/relationships/worksheet" Target="/xl/worksheets/sheet10.xml" Id="Rc29527e0c98948fd" /><Relationship Type="http://schemas.openxmlformats.org/officeDocument/2006/relationships/worksheet" Target="/xl/worksheets/sheet11.xml" Id="Rae85c665c7fd4f92" /><Relationship Type="http://schemas.openxmlformats.org/officeDocument/2006/relationships/worksheet" Target="/xl/worksheets/sheet12.xml" Id="Rc9f5a4bd21464edc" /><Relationship Type="http://schemas.openxmlformats.org/officeDocument/2006/relationships/worksheet" Target="/xl/worksheets/sheet13.xml" Id="Refaa6a6d2267453a" /><Relationship Type="http://schemas.microsoft.com/office/2017/10/relationships/person" Target="/xl/persons/person.xml" Id="R94bfcfb216d84516" /></Relationships>
</file>

<file path=xl/persons/person.xml><?xml version="1.0" encoding="utf-8"?>
<xltc:personList xmlns:xltc="http://schemas.microsoft.com/office/spreadsheetml/2018/threadedcomments">
  <xltc:person displayName="王杰" id="{37615568-6C2A-4D2F-BCEC-1A5E34D7D64C}"/>
</xltc:personList>
</file>

<file path=xl/tables/table1.xml><?xml version="1.0" encoding="utf-8"?>
<x:table xmlns:x="http://schemas.openxmlformats.org/spreadsheetml/2006/main" id="2" name="R1EvidenceTable" displayName="R1EvidenceTable" ref="A4:J17" headerRowCount="1" totalsRowCount="0" totalsRowShown="0">
  <x:tableColumns count="10">
    <x:tableColumn id="1" name="编号"/>
    <x:tableColumn id="2" name="取证对象"/>
    <x:tableColumn id="3" name="采集方法/动作"/>
    <x:tableColumn id="4" name="状态"/>
    <x:tableColumn id="5" name="证据等级"/>
    <x:tableColumn id="6" name="现场结果摘要"/>
    <x:tableColumn id="7" name="影响/判断"/>
    <x:tableColumn id="8" name="采集时间"/>
    <x:tableColumn id="9" name="采集人"/>
    <x:tableColumn id="10" name="脱敏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VersionHashTable" displayName="VersionHashTable" ref="A4:E107" headerRowCount="1" totalsRowCount="0" totalsRowShown="0">
  <x:tableColumns count="5">
    <x:tableColumn id="1" name="相对路径"/>
    <x:tableColumn id="2" name="生产 SHA-256 前16位"/>
    <x:tableColumn id="3" name="main SHA-256 前16位"/>
    <x:tableColumn id="4" name="结果"/>
    <x:tableColumn id="5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GateTable" displayName="GateTable" ref="A4:E10" headerRowCount="1" totalsRowCount="0" totalsRowShown="0">
  <x:tableColumns count="5">
    <x:tableColumn id="1" name="#"/>
    <x:tableColumn id="2" name="必须具备的证据"/>
    <x:tableColumn id="3" name="状态"/>
    <x:tableColumn id="4" name="现场判断"/>
    <x:tableColumn id="5" name="对应证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opologyTable" displayName="TopologyTable" ref="A4:G9" headerRowCount="1" totalsRowCount="0" totalsRowShown="0">
  <x:tableColumns count="7">
    <x:tableColumn id="1" name="系统"/>
    <x:tableColumn id="2" name="地址/平台"/>
    <x:tableColumn id="3" name="操作系统/类型"/>
    <x:tableColumn id="4" name="部署路径/标识"/>
    <x:tableColumn id="5" name="运行时/端口"/>
    <x:tableColumn id="6" name="公网入口"/>
    <x:tableColumn id="7" name="现场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FiveTupleTable" displayName="FiveTupleTable" ref="A4:G19" headerRowCount="1" totalsRowCount="0" totalsRowShown="0">
  <x:tableColumns count="7">
    <x:tableColumn id="1" name="系统"/>
    <x:tableColumn id="2" name="维度"/>
    <x:tableColumn id="3" name="现场值"/>
    <x:tableColumn id="4" name="状态"/>
    <x:tableColumn id="5" name="证据等级"/>
    <x:tableColumn id="6" name="对应证据"/>
    <x:tableColumn id="7" name="采集时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selineTable" displayName="BaselineTable" ref="A4:J19" headerRowCount="1" totalsRowCount="0" totalsRowShown="0">
  <x:tableColumns count="10">
    <x:tableColumn id="1" name="指标"/>
    <x:tableColumn id="2" name="采集对象"/>
    <x:tableColumn id="3" name="统计口径/只读动作"/>
    <x:tableColumn id="4" name="结果"/>
    <x:tableColumn id="5" name="单位"/>
    <x:tableColumn id="6" name="对照结果"/>
    <x:tableColumn id="7" name="对照单位"/>
    <x:tableColumn id="8" name="采集时间"/>
    <x:tableColumn id="9" name="数据截止时间"/>
    <x:tableColumn id="10" name="口径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usTable" displayName="StatusTable" ref="A4:D27" headerRowCount="1" totalsRowCount="0" totalsRowShown="0">
  <x:tableColumns count="4">
    <x:tableColumn id="1" name="源文件"/>
    <x:tableColumn id="2" name="状态"/>
    <x:tableColumn id="3" name="数量"/>
    <x:tableColumn id="4" name="分类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JsonlTable" displayName="JsonlTable" ref="A4:F28" headerRowCount="1" totalsRowCount="0" totalsRowShown="0">
  <x:tableColumns count="6">
    <x:tableColumn id="1" name="文件"/>
    <x:tableColumn id="2" name="字节数"/>
    <x:tableColumn id="3" name="物理行数"/>
    <x:tableColumn id="4" name="解析错误"/>
    <x:tableColumn id="5" name="最早时间"/>
    <x:tableColumn id="6" name="最晚时间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ttachmentDirectoryTable" displayName="AttachmentDirectoryTable" ref="A4:E11" headerRowCount="1" totalsRowCount="0" totalsRowShown="0">
  <x:tableColumns count="5">
    <x:tableColumn id="1" name="类别"/>
    <x:tableColumn id="2" name="目录"/>
    <x:tableColumn id="3" name="文件数"/>
    <x:tableColumn id="4" name="总字节"/>
    <x:tableColumn id="5" name="最新写入/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tachmentTable" displayName="AttachmentTable" ref="A4:G9" headerRowCount="1" totalsRowCount="0" totalsRowShown="0">
  <x:tableColumns count="7">
    <x:tableColumn id="1" name="类别"/>
    <x:tableColumn id="2" name="唯一引用"/>
    <x:tableColumn id="3" name="存在"/>
    <x:tableColumn id="4" name="缺失"/>
    <x:tableColumn id="5" name="检查错误"/>
    <x:tableColumn id="6" name="存在文件总字节"/>
    <x:tableColumn id="7" name="判断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ceptionTable" displayName="ExceptionTable" ref="A4:F15" headerRowCount="1" totalsRowCount="0" totalsRowShown="0">
  <x:tableColumns count="6">
    <x:tableColumn id="1" name="编号"/>
    <x:tableColumn id="2" name="级别"/>
    <x:tableColumn id="3" name="异常"/>
    <x:tableColumn id="4" name="证据"/>
    <x:tableColumn id="5" name="影响"/>
    <x:tableColumn id="6" name="建议处理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apTable" displayName="GapTable" ref="A4:E15" headerRowCount="1" totalsRowCount="0" totalsRowShown="0">
  <x:tableColumns count="5">
    <x:tableColumn id="1" name="编号"/>
    <x:tableColumn id="2" name="缺口"/>
    <x:tableColumn id="3" name="当前情况"/>
    <x:tableColumn id="4" name="需要补充的证据"/>
    <x:tableColumn id="5" name="影响等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6" dT="2026-08-19T12:10:34.094" personId="{37615568-6C2A-4D2F-BCEC-1A5E34D7D64C}" id="{FBBC7F98-8D7B-02B8-3DAF-95E3A70914E6}">
    <xltc:text>版本判断依据：2026-08-19 20:08 重新拉取 main@a42a115，并对生产正式部署范围逐文件计算 SHA-256。102 个运行源码、配置样例和业务模板全部一致；历史备份源码不纳入部署清单。</xltc:text>
  </xltc:threadedComment>
  <xltc:threadedComment ref="F14" dT="2026-08-19T12:10:34.095" personId="{37615568-6C2A-4D2F-BCEC-1A5E34D7D64C}" id="{169365E2-CB41-A403-BDB3-F586AB3E645C}">
    <xltc:text>pgAPI 当前架构依据：customers/products/purchase-contracts 三个读接口，以及 rhcrm-core-sync、rhcrm-contract-sync 的 systemd 配置与最近成功日志。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e33bdea17834e1c" /><Relationship Type="http://schemas.openxmlformats.org/officeDocument/2006/relationships/vmlDrawing" Target="/xl/drawings/vmldrawing.vml" Id="R5ef16471ed7d467e" /><Relationship Type="http://schemas.microsoft.com/office/2017/10/relationships/threadedComment" Target="/xl/threadedcomments/threadedcomment.xml" Id="Rf90408068ac1473b" /><Relationship Type="http://schemas.openxmlformats.org/officeDocument/2006/relationships/table" Target="/xl/tables/table1.xml" Id="R0414fbaad71042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b6d100541540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a34f0741f347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431f2c29c143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df5dbe1b8e42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a731ce130945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9e6ebcb27c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4df5848fc14b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07a8814c1342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58c791ee394c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864b31d7a9946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e480c09406146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第一次发布前现场调研结论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采集人：王杰｜采集时间：2026-08-19 17:58 +08:00｜原则：只读取证、禁止秘密值进入报告</x:v>
      </x:c>
      <x:c r="B2" s="6"/>
      <x:c r="C2" s="6"/>
      <x:c r="D2" s="6"/>
      <x:c r="E2" s="6"/>
      <x:c r="F2" s="6"/>
      <x:c r="G2" s="6"/>
      <x:c r="H2" s="6"/>
    </x:row>
    <x:row r="4" ht="34" customHeight="1">
      <x:c r="A4" s="9" t="str">
        <x:v>NO-GO：当前不建议进入第一次生产发布</x:v>
      </x:c>
      <x:c r="B4" s="9"/>
      <x:c r="C4" s="9"/>
      <x:c r="D4" s="9"/>
      <x:c r="E4" s="9"/>
      <x:c r="F4" s="9"/>
      <x:c r="G4" s="9"/>
      <x:c r="H4" s="9"/>
    </x:row>
    <x:row r="6">
      <x:c r="A6" s="12" t="str">
        <x:v>通过门数</x:v>
      </x:c>
      <x:c r="B6" s="12" t="str"/>
      <x:c r="C6" s="12" t="str">
        <x:v>部分通过</x:v>
      </x:c>
      <x:c r="D6" s="12" t="str"/>
      <x:c r="E6" s="12" t="str">
        <x:v>未通过</x:v>
      </x:c>
      <x:c r="F6" s="12" t="str"/>
      <x:c r="G6" s="12" t="str">
        <x:v>证据门总数</x:v>
      </x:c>
      <x:c r="H6" s="12" t="str"/>
    </x:row>
    <x:row r="7">
      <x:c r="A7" s="15" t="n">
        <x:f>COUNTIF('发布门'!$C$5:$C$10,"通过")</x:f>
        <x:v>2</x:v>
      </x:c>
      <x:c r="B7" s="15" t="str"/>
      <x:c r="C7" s="18" t="n">
        <x:f>COUNTIF('发布门'!$C$5:$C$10,"部分通过")</x:f>
        <x:v>1</x:v>
      </x:c>
      <x:c r="D7" s="18" t="str"/>
      <x:c r="E7" s="20" t="n">
        <x:f>COUNTIF('发布门'!$C$5:$C$10,"未通过")</x:f>
        <x:v>3</x:v>
      </x:c>
      <x:c r="F7" s="20" t="str"/>
      <x:c r="G7" s="23" t="n">
        <x:f>COUNTA('发布门'!$A$5:$A$10)</x:f>
        <x:v>6</x:v>
      </x:c>
      <x:c r="H7" s="23" t="str"/>
    </x:row>
    <x:row r="9">
      <x:c r="A9" s="25" t="str">
        <x:v>发布前必须完成的 4 项动作</x:v>
      </x:c>
      <x:c r="B9" s="25" t="str"/>
      <x:c r="C9" s="25" t="str"/>
      <x:c r="D9" s="25" t="str"/>
      <x:c r="E9" s="25" t="str"/>
      <x:c r="F9" s="25" t="str"/>
      <x:c r="G9" s="25" t="str"/>
      <x:c r="H9" s="25" t="str"/>
    </x:row>
    <x:row r="10" ht="34" customHeight="1">
      <x:c r="A10" s="41" t="str">
        <x:v>1</x:v>
      </x:c>
      <x:c r="B10" s="44" t="str">
        <x:v>补齐 V01 配置</x:v>
      </x:c>
      <x:c r="C10" s="32" t="str">
        <x:v>新增 V01 profile，明确 TEST_SUPERVISOR、TEST_CHAIRMAN 姓名及脱敏 ID 指纹。</x:v>
      </x:c>
    </x:row>
    <x:row r="11" ht="34" customHeight="1">
      <x:c r="A11" s="42" t="str">
        <x:v>2</x:v>
      </x:c>
      <x:c r="B11" s="45" t="str">
        <x:v>实现桥接模块</x:v>
      </x:c>
      <x:c r="C11" s="33" t="str">
        <x:v>在唯一新系统仓库中实现并部署 /api/v1/bridge/auth-url 等接口。</x:v>
      </x:c>
    </x:row>
    <x:row r="12" ht="34" customHeight="1">
      <x:c r="A12" s="42" t="str">
        <x:v>3</x:v>
      </x:c>
      <x:c r="B12" s="45" t="str">
        <x:v>实现旧系统前缀逻辑</x:v>
      </x:c>
      <x:c r="C12" s="33" t="str">
        <x:v>补充 B2B_V01_ 幂等前缀自动确认，并在测试环境验证。</x:v>
      </x:c>
    </x:row>
    <x:row r="13" ht="34" customHeight="1">
      <x:c r="A13" s="43" t="str">
        <x:v>4</x:v>
      </x:c>
      <x:c r="B13" s="46" t="str">
        <x:v>修正企微入口与回调</x:v>
      </x:c>
      <x:c r="C13" s="34" t="str">
        <x:v>将主页指向销售助理入口，加入飞书新回调 URL，完成企微/PC 联调。</x:v>
      </x:c>
    </x:row>
  </x:sheetData>
  <x:mergeCells>
    <x:mergeCell ref="A1:H1"/>
    <x:mergeCell ref="A2:H2"/>
    <x:mergeCell ref="A4:H4"/>
    <x:mergeCell ref="A6:B6"/>
    <x:mergeCell ref="A7:B7"/>
    <x:mergeCell ref="C6:D6"/>
    <x:mergeCell ref="C7:D7"/>
    <x:mergeCell ref="E6:F6"/>
    <x:mergeCell ref="E7:F7"/>
    <x:mergeCell ref="G6:H6"/>
    <x:mergeCell ref="G7:H7"/>
    <x:mergeCell ref="A9:H9"/>
    <x:mergeCell ref="C10:H10"/>
    <x:mergeCell ref="C11:H11"/>
    <x:mergeCell ref="C12:H12"/>
    <x:mergeCell ref="C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2" hidden="0" customWidth="1"/>
    <x:col min="5" max="5" width="12" hidden="0" customWidth="1"/>
    <x:col min="6" max="6" width="58" hidden="0" customWidth="1"/>
    <x:col min="7" max="7" width="38" hidden="0" customWidth="1"/>
    <x:col min="8" max="8" width="20" hidden="0" customWidth="1"/>
    <x:col min="9" max="9" width="10" hidden="0" customWidth="1"/>
    <x:col min="10" max="10" width="14" hidden="0" customWidth="1"/>
  </x:cols>
  <x:sheetData>
    <x:row r="1" ht="32" customHeight="1">
      <x:c r="A1" s="3" t="str">
        <x:v>第一次发布 R1-01～R1-13 取证台账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状态口径：通过 / 部分通过 / 未通过；L1=系统直接证据，L2=后台或责任人确认，L3=用户提供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53" t="str">
        <x:v>编号</x:v>
      </x:c>
      <x:c r="B4" s="54" t="str">
        <x:v>取证对象</x:v>
      </x:c>
      <x:c r="C4" s="54" t="str">
        <x:v>采集方法/动作</x:v>
      </x:c>
      <x:c r="D4" s="54" t="str">
        <x:v>状态</x:v>
      </x:c>
      <x:c r="E4" s="54" t="str">
        <x:v>证据等级</x:v>
      </x:c>
      <x:c r="F4" s="54" t="str">
        <x:v>现场结果摘要</x:v>
      </x:c>
      <x:c r="G4" s="54" t="str">
        <x:v>影响/判断</x:v>
      </x:c>
      <x:c r="H4" s="54" t="str">
        <x:v>采集时间</x:v>
      </x:c>
      <x:c r="I4" s="54" t="str">
        <x:v>采集人</x:v>
      </x:c>
      <x:c r="J4" s="55" t="str">
        <x:v>脱敏状态</x:v>
      </x:c>
    </x:row>
    <x:row r="5">
      <x:c r="A5" s="61" t="str">
        <x:v>R1-01</x:v>
      </x:c>
      <x:c r="B5" s="61" t="str">
        <x:v>旧系统进程/端口</x:v>
      </x:c>
      <x:c r="C5" s="61" t="str">
        <x:v>定点执行系统信息、Node 进程、3000 监听、健康检查、计划任务、磁盘余量查询。</x:v>
      </x:c>
      <x:c r="D5" s="61" t="str">
        <x:v>部分通过</x:v>
      </x:c>
      <x:c r="E5" s="61" t="str">
        <x:v>L1</x:v>
      </x:c>
      <x:c r="F5" s="61" t="str">
        <x:v>3000 端口、公网 HTTPS、健康页、工作台和创建页均可达；Node v24.15.0；看门狗运行。服务实际以 npm run dev/tsx 运行，计划任务存在异常历史结果，C 盘约 39.9 GB，剩余约 4.62 GiB。</x:v>
      </x:c>
      <x:c r="G5" s="61" t="str">
        <x:v>运行可用，但守护方式和磁盘余量需纳入发布保障。</x:v>
      </x:c>
      <x:c r="H5" s="61" t="str">
        <x:v>2026-08-19 17:58 +08:00</x:v>
      </x:c>
      <x:c r="I5" s="61" t="str">
        <x:v>王杰</x:v>
      </x:c>
      <x:c r="J5" s="61" t="str">
        <x:v>已脱敏</x:v>
      </x:c>
    </x:row>
    <x:row r="6">
      <x:c r="A6" s="62" t="str">
        <x:v>R1-02</x:v>
      </x:c>
      <x:c r="B6" s="62" t="str">
        <x:v>旧系统代码版本</x:v>
      </x:c>
      <x:c r="C6" s="62" t="str">
        <x:v>重新拉取 GitLab main，定点读取生产 src/web/templates/scripts 和项目根文件，逐文件计算 SHA-256 并核对线上 3000 端口 Node 启动入口。</x:v>
      </x:c>
      <x:c r="D6" s="62" t="str">
        <x:v>通过</x:v>
      </x:c>
      <x:c r="E6" s="62" t="str">
        <x:v>L1</x:v>
      </x:c>
      <x:c r="F6" s="62" t="str">
        <x:v>GitLab main 为 a42a115；正式部署范围内 102 个文件逐项 SHA-256 全部一致，包含出库单及三类开票申请模板。main 中的 server.before-wecombridge.ts 为历史备份源码，不纳入正式部署清单。</x:v>
      </x:c>
      <x:c r="G6" s="62" t="str">
        <x:v>已用系统证据确认生产运行源码、配置样例和业务模板与 main 一致。</x:v>
      </x:c>
      <x:c r="H6" s="62" t="str">
        <x:v>2026-08-19 20:08 +08:00</x:v>
      </x:c>
      <x:c r="I6" s="62" t="str">
        <x:v>王杰</x:v>
      </x:c>
      <x:c r="J6" s="62" t="str">
        <x:v>已脱敏</x:v>
      </x:c>
    </x:row>
    <x:row r="7">
      <x:c r="A7" s="62" t="str">
        <x:v>R1-03</x:v>
      </x:c>
      <x:c r="B7" s="62" t="str">
        <x:v>飞书应用与 OAuth</x:v>
      </x:c>
      <x:c r="C7" s="62" t="str">
        <x:v>调用飞书应用信息/版本 OpenAPI，仅记录应用类型、启用状态、版本和重定向 URL。</x:v>
      </x:c>
      <x:c r="D7" s="62" t="str">
        <x:v>未通过</x:v>
      </x:c>
      <x:c r="E7" s="62" t="str">
        <x:v>L1</x:v>
      </x:c>
      <x:c r="F7" s="62" t="str">
        <x:v>应用为启用状态的企业自建应用，PC/移动端默认能力均为 web_app；当前重定向 URL 只有 approval.renheng.com 下 3 个旧系统地址，未见 v0.1/新系统回调地址。</x:v>
      </x:c>
      <x:c r="G7" s="62" t="str">
        <x:v>应用本身可用，但第一次发布回调白名单尚未落地。</x:v>
      </x:c>
      <x:c r="H7" s="62" t="str">
        <x:v>2026-08-19 17:58 +08:00</x:v>
      </x:c>
      <x:c r="I7" s="62" t="str">
        <x:v>王杰</x:v>
      </x:c>
      <x:c r="J7" s="62" t="str">
        <x:v>已脱敏</x:v>
      </x:c>
    </x:row>
    <x:row r="8">
      <x:c r="A8" s="62" t="str">
        <x:v>R1-04</x:v>
      </x:c>
      <x:c r="B8" s="62" t="str">
        <x:v>/api/approval/feishu-user-by-code</x:v>
      </x:c>
      <x:c r="C8" s="62" t="str">
        <x:v>探测公网 OAuth 换码接口错误码并核对旧系统路由和响应字段。</x:v>
      </x:c>
      <x:c r="D8" s="62" t="str">
        <x:v>部分通过</x:v>
      </x:c>
      <x:c r="E8" s="62" t="str">
        <x:v>L1</x:v>
      </x:c>
      <x:c r="F8" s="62" t="str">
        <x:v>公网无 code 调用返回 400 missing code；源码响应包含 ok/user/role/token 等字段。现场新系统没有 bridge.go 或等价桥接实现，无法完成契约对照。</x:v>
      </x:c>
      <x:c r="G8" s="62" t="str">
        <x:v>旧接口存在；桥接侧缺失导致端到端前提不成立。</x:v>
      </x:c>
      <x:c r="H8" s="62" t="str">
        <x:v>2026-08-19 17:58 +08:00</x:v>
      </x:c>
      <x:c r="I8" s="62" t="str">
        <x:v>王杰</x:v>
      </x:c>
      <x:c r="J8" s="62" t="str">
        <x:v>已脱敏</x:v>
      </x:c>
    </x:row>
    <x:row r="9">
      <x:c r="A9" s="62" t="str">
        <x:v>R1-05</x:v>
      </x:c>
      <x:c r="B9" s="62" t="str">
        <x:v>POST /external-orders/create</x:v>
      </x:c>
      <x:c r="C9" s="62" t="str">
        <x:v>核对创建订单路由、幂等键规则、303 跳转、提交状态查询；生产仅做未授权探测。</x:v>
      </x:c>
      <x:c r="D9" s="62" t="str">
        <x:v>部分通过</x:v>
      </x:c>
      <x:c r="E9" s="62" t="str">
        <x:v>L1</x:v>
      </x:c>
      <x:c r="F9" s="62" t="str">
        <x:v>源码存在 8-200 字符幂等键校验、303 成功跳转和 submission-status 查询；未授权请求返回 401。受只读取证约束，未在生产创建真实订单。</x:v>
      </x:c>
      <x:c r="G9" s="62" t="str">
        <x:v>静态契约满足，缺少带真实授权的只读/沙箱联调证据。</x:v>
      </x:c>
      <x:c r="H9" s="62" t="str">
        <x:v>2026-08-19 17:58 +08:00</x:v>
      </x:c>
      <x:c r="I9" s="62" t="str">
        <x:v>王杰</x:v>
      </x:c>
      <x:c r="J9" s="62" t="str">
        <x:v>已脱敏</x:v>
      </x:c>
    </x:row>
    <x:row r="10">
      <x:c r="A10" s="62" t="str">
        <x:v>R1-06</x:v>
      </x:c>
      <x:c r="B10" s="62" t="str">
        <x:v>销售员/代办人映射</x:v>
      </x:c>
      <x:c r="C10" s="62" t="str">
        <x:v>定点解析 sales_person_map.json 与 agent_person_map.json，只统计条目及指定人员是否存在。</x:v>
      </x:c>
      <x:c r="D10" s="62" t="str">
        <x:v>通过</x:v>
      </x:c>
      <x:c r="E10" s="62" t="str">
        <x:v>L1</x:v>
      </x:c>
      <x:c r="F10" s="62" t="str">
        <x:v>sales_person_map 共 22 人，agent_person_map 共 7 人；陈虹励已在 agent 白名单。</x:v>
      </x:c>
      <x:c r="G10" s="62" t="str">
        <x:v>销售助理身份前提已具备。</x:v>
      </x:c>
      <x:c r="H10" s="62" t="str">
        <x:v>2026-08-19 17:58 +08:00</x:v>
      </x:c>
      <x:c r="I10" s="62" t="str">
        <x:v>王杰</x:v>
      </x:c>
      <x:c r="J10" s="62" t="str">
        <x:v>已脱敏</x:v>
      </x:c>
    </x:row>
    <x:row r="11">
      <x:c r="A11" s="62" t="str">
        <x:v>R1-07</x:v>
      </x:c>
      <x:c r="B11" s="62" t="str">
        <x:v>approval_role_map.json</x:v>
      </x:c>
      <x:c r="C11" s="62" t="str">
        <x:v>定点解析 approval_role_map.json 的角色键和 approval_profiles 结构，不输出完整人员标识。</x:v>
      </x:c>
      <x:c r="D11" s="62" t="str">
        <x:v>未通过</x:v>
      </x:c>
      <x:c r="E11" s="62" t="str">
        <x:v>L1</x:v>
      </x:c>
      <x:c r="F11" s="62" t="str">
        <x:v>approval_profiles 机制存在，当前有 3 个既有 profile；未发现本次发布要求的 V01 profile。</x:v>
      </x:c>
      <x:c r="G11" s="62" t="str">
        <x:v>需要在发布前新增并验证 V01 profile 合并语义。</x:v>
      </x:c>
      <x:c r="H11" s="62" t="str">
        <x:v>2026-08-19 17:58 +08:00</x:v>
      </x:c>
      <x:c r="I11" s="62" t="str">
        <x:v>王杰</x:v>
      </x:c>
      <x:c r="J11" s="62" t="str">
        <x:v>已脱敏</x:v>
      </x:c>
    </x:row>
    <x:row r="12">
      <x:c r="A12" s="62" t="str">
        <x:v>R1-08</x:v>
      </x:c>
      <x:c r="B12" s="62" t="str">
        <x:v>V01 profile 审批人</x:v>
      </x:c>
      <x:c r="C12" s="62" t="str">
        <x:v>访谈确认 TEST_SUPERVISOR / TEST_CHAIRMAN 配置状态，不采集完整 open_id。</x:v>
      </x:c>
      <x:c r="D12" s="62" t="str">
        <x:v>未通过</x:v>
      </x:c>
      <x:c r="E12" s="62" t="str">
        <x:v>L3</x:v>
      </x:c>
      <x:c r="F12" s="62" t="str">
        <x:v>用户确认 TEST_SUPERVISOR、TEST_CHAIRMAN 当前暂空；缺少姓名与 open_id 指纹。</x:v>
      </x:c>
      <x:c r="G12" s="62" t="str">
        <x:v>审批链无法形成，属于直接阻塞。</x:v>
      </x:c>
      <x:c r="H12" s="62" t="str">
        <x:v>2026-08-19 17:58 +08:00</x:v>
      </x:c>
      <x:c r="I12" s="62" t="str">
        <x:v>王杰</x:v>
      </x:c>
      <x:c r="J12" s="62" t="str">
        <x:v>未采集秘密值</x:v>
      </x:c>
    </x:row>
    <x:row r="13">
      <x:c r="A13" s="62" t="str">
        <x:v>R1-09</x:v>
      </x:c>
      <x:c r="B13" s="62" t="str">
        <x:v>B2B_V01_ 幂等前缀自动确认</x:v>
      </x:c>
      <x:c r="C13" s="62" t="str">
        <x:v>在生产代码指定 src 范围和 GitLab main 中定点检索 B2B_V01_ 前缀逻辑。</x:v>
      </x:c>
      <x:c r="D13" s="62" t="str">
        <x:v>未通过</x:v>
      </x:c>
      <x:c r="E13" s="62" t="str">
        <x:v>L1</x:v>
      </x:c>
      <x:c r="F13" s="62" t="str">
        <x:v>生产代码与 GitLab main 均未找到 B2B_V01_ 前缀识别逻辑。</x:v>
      </x:c>
      <x:c r="G13" s="62" t="str">
        <x:v>第一次发布唯一旧系统改动尚未实现。</x:v>
      </x:c>
      <x:c r="H13" s="62" t="str">
        <x:v>2026-08-19 17:58 +08:00</x:v>
      </x:c>
      <x:c r="I13" s="62" t="str">
        <x:v>王杰</x:v>
      </x:c>
      <x:c r="J13" s="62" t="str">
        <x:v>已脱敏</x:v>
      </x:c>
    </x:row>
    <x:row r="14">
      <x:c r="A14" s="62" t="str">
        <x:v>R1-10</x:v>
      </x:c>
      <x:c r="B14" s="62" t="str">
        <x:v>pgAPI 服务、代码口径与同步链</x:v>
      </x:c>
      <x:c r="C14" s="62" t="str">
        <x:v>探测 pgAPI 健康、OpenAPI、三张核心接口；核对 systemd 同步任务、仓库提交和三表聚合计数。</x:v>
      </x:c>
      <x:c r="D14" s="62" t="str">
        <x:v>通过</x:v>
      </x:c>
      <x:c r="E14" s="62" t="str">
        <x:v>L1</x:v>
      </x:c>
      <x:c r="F14" s="62" t="str">
        <x:v>rhcrm-server main@b387f24f 已将 pgAPI 收敛为 customers、products、purchase-contracts 三张核心表，旧流程/明细/开票配置和路由已删除，静态编译通过；生产 OpenAPI 共 19 个路径，未暴露上述旧路径；两条 30 分钟同步链最近执行均成功。</x:v>
      </x:c>
      <x:c r="G14" s="62" t="str">
        <x:v>代码、生产接口、文档与现场同步架构现已一致；购销合同物理数、未删除数和 API 数的差异来自明确的软删除及已撤回/已拒绝过滤规则，不属于同步异常。</x:v>
      </x:c>
      <x:c r="H14" s="62" t="str">
        <x:v>2026-08-19 17:58 +08:00</x:v>
      </x:c>
      <x:c r="I14" s="62" t="str">
        <x:v>王杰</x:v>
      </x:c>
      <x:c r="J14" s="62" t="str">
        <x:v>已脱敏</x:v>
      </x:c>
    </x:row>
    <x:row r="15">
      <x:c r="A15" s="62" t="str">
        <x:v>R1-11</x:v>
      </x:c>
      <x:c r="B15" s="62" t="str">
        <x:v>新系统桥接模块</x:v>
      </x:c>
      <x:c r="C15" s="62" t="str">
        <x:v>核对新系统仓库提交、迁移文件、容器状态，并探测 /healthz 与 bridge/auth-url。</x:v>
      </x:c>
      <x:c r="D15" s="62" t="str">
        <x:v>未通过</x:v>
      </x:c>
      <x:c r="E15" s="62" t="str">
        <x:v>L1</x:v>
      </x:c>
      <x:c r="F15" s="62" t="str">
        <x:v>现场实际为 b2b_pilot_v2@bf6a9cb7；仓库无 bridge/auth-url 代码；/api/v1/bridge/auth-url 返回 404；业务数据库无业务表，迁移文件只有 001-002。</x:v>
      </x:c>
      <x:c r="G15" s="62" t="str">
        <x:v>桥接能力未部署，是直接阻塞。</x:v>
      </x:c>
      <x:c r="H15" s="62" t="str">
        <x:v>2026-08-19 17:58 +08:00</x:v>
      </x:c>
      <x:c r="I15" s="62" t="str">
        <x:v>王杰</x:v>
      </x:c>
      <x:c r="J15" s="62" t="str">
        <x:v>已脱敏</x:v>
      </x:c>
    </x:row>
    <x:row r="16">
      <x:c r="A16" s="62" t="str">
        <x:v>R1-12</x:v>
      </x:c>
      <x:c r="B16" s="62" t="str">
        <x:v>企微/PC 入口</x:v>
      </x:c>
      <x:c r="C16" s="62" t="str">
        <x:v>核对企微应用启用状态、主页/可信域名，并从公网验证当前入口页面和健康端点。</x:v>
      </x:c>
      <x:c r="D16" s="62" t="str">
        <x:v>未通过</x:v>
      </x:c>
      <x:c r="E16" s="62" t="str">
        <x:v>L1</x:v>
      </x:c>
      <x:c r="F16" s="62" t="str">
        <x:v>企微应用启用，redirect_domain 与 home_url 正确，121.40.226.192 可成功调用企微 API；但当前 miniapp 标题为“备货与发货”，healthz 指向旧 renheng-wecom-order-test 服务，非销售助理桥接入口。</x:v>
      </x:c>
      <x:c r="G16" s="62" t="str">
        <x:v>域名与应用壳可用，但入口业务能力与第一次发布目标不一致。</x:v>
      </x:c>
      <x:c r="H16" s="62" t="str">
        <x:v>2026-08-19 17:58 +08:00</x:v>
      </x:c>
      <x:c r="I16" s="62" t="str">
        <x:v>王杰</x:v>
      </x:c>
      <x:c r="J16" s="62" t="str">
        <x:v>已脱敏</x:v>
      </x:c>
    </x:row>
    <x:row r="17">
      <x:c r="A17" s="62" t="str">
        <x:v>R1-13</x:v>
      </x:c>
      <x:c r="B17" s="62" t="str">
        <x:v>旧系统生产滞留单</x:v>
      </x:c>
      <x:c r="C17" s="62" t="str">
        <x:v>定点下载 24 个明确 JSONL，流式解析后按业务 ID 取最新记录并汇总非终态数量。</x:v>
      </x:c>
      <x:c r="D17" s="62" t="str">
        <x:v>通过</x:v>
      </x:c>
      <x:c r="E17" s="62" t="str">
        <x:v>L1</x:v>
      </x:c>
      <x:c r="F17" s="62" t="str">
        <x:v>按业务 ID 最新记录去重：订单创建待办 9、备货待办 8、发货阶段待办 334、开票阶段待办 43。</x:v>
      </x:c>
      <x:c r="G17" s="62" t="str">
        <x:v>已建立上线前滞留基线，后续需按同口径复测。</x:v>
      </x:c>
      <x:c r="H17" s="62" t="str">
        <x:v>2026-08-19 17:58 +08:00</x:v>
      </x:c>
      <x:c r="I17" s="62" t="str">
        <x:v>王杰</x:v>
      </x:c>
      <x:c r="J17" s="62" t="str">
        <x:v>不含业务明细</x:v>
      </x:c>
    </x:row>
  </x:sheetData>
  <x:mergeCells>
    <x:mergeCell ref="A1:J1"/>
    <x:mergeCell ref="A2:J2"/>
  </x:mergeCells>
  <x:conditionalFormatting sqref="D5:D17">
    <x:cfRule type="containsText" dxfId="4" priority="1" operator="containsText" text="未通过"/>
    <x:cfRule type="containsText" dxfId="5" priority="2" operator="containsText" text="部分通过"/>
    <x:cfRule type="containsText" dxfId="6" priority="3" operator="containsText" text="通过"/>
  </x:conditionalFormatting>
  <x:pageMargins left="0.7" right="0.7" top="0.75" bottom="0.75" header="0.3" footer="0.3"/>
  <x:legacyDrawing xmlns:r="http://schemas.openxmlformats.org/officeDocument/2006/relationships" r:id="R5ef16471ed7d467e"/>
  <x:tableParts count="1">
    <x:tablePart xmlns:r="http://schemas.openxmlformats.org/officeDocument/2006/relationships" r:id="R0414fbaad71042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4" hidden="0" customWidth="1"/>
    <x:col min="3" max="3" width="24" hidden="0" customWidth="1"/>
    <x:col min="4" max="4" width="14" hidden="0" customWidth="1"/>
    <x:col min="5" max="5" width="42" hidden="0" customWidth="1"/>
  </x:cols>
  <x:sheetData>
    <x:row r="1" ht="32" customHeight="1">
      <x:c r="A1" s="3" t="str">
        <x:v>旧系统生产与 GitLab main 文件核验</x:v>
      </x:c>
      <x:c r="B1" s="3"/>
      <x:c r="C1" s="3"/>
      <x:c r="D1" s="3"/>
      <x:c r="E1" s="3"/>
    </x:row>
    <x:row r="2" ht="26" customHeight="1">
      <x:c r="A2" s="6" t="str">
        <x:v>main@a42a115｜正式部署范围 102 个文件一致｜1 个历史备份源码不纳入部署｜完整 SHA-256 见同目录 CSV</x:v>
      </x:c>
      <x:c r="B2" s="6"/>
      <x:c r="C2" s="6"/>
      <x:c r="D2" s="6"/>
      <x:c r="E2" s="6"/>
    </x:row>
    <x:row r="4" ht="28" customHeight="1">
      <x:c r="A4" s="53" t="str">
        <x:v>相对路径</x:v>
      </x:c>
      <x:c r="B4" s="54" t="str">
        <x:v>生产 SHA-256 前16位</x:v>
      </x:c>
      <x:c r="C4" s="54" t="str">
        <x:v>main SHA-256 前16位</x:v>
      </x:c>
      <x:c r="D4" s="54" t="str">
        <x:v>结果</x:v>
      </x:c>
      <x:c r="E4" s="55" t="str">
        <x:v>说明</x:v>
      </x:c>
    </x:row>
    <x:row r="5">
      <x:c r="A5" s="61" t="str">
        <x:v>.env.example</x:v>
      </x:c>
      <x:c r="B5" s="61" t="str">
        <x:v>26f36d19baa6f86c</x:v>
      </x:c>
      <x:c r="C5" s="61" t="str">
        <x:v>26f36d19baa6f86c</x:v>
      </x:c>
      <x:c r="D5" s="61" t="str">
        <x:v>一致</x:v>
      </x:c>
      <x:c r="E5" s="61" t="str"/>
    </x:row>
    <x:row r="6">
      <x:c r="A6" s="62" t="str">
        <x:v>package-lock.json</x:v>
      </x:c>
      <x:c r="B6" s="62" t="str">
        <x:v>dd13c8f4b4793d2b</x:v>
      </x:c>
      <x:c r="C6" s="62" t="str">
        <x:v>dd13c8f4b4793d2b</x:v>
      </x:c>
      <x:c r="D6" s="62" t="str">
        <x:v>一致</x:v>
      </x:c>
      <x:c r="E6" s="62" t="str"/>
    </x:row>
    <x:row r="7">
      <x:c r="A7" s="62" t="str">
        <x:v>package.json</x:v>
      </x:c>
      <x:c r="B7" s="62" t="str">
        <x:v>3d454cd0bd52cc46</x:v>
      </x:c>
      <x:c r="C7" s="62" t="str">
        <x:v>3d454cd0bd52cc46</x:v>
      </x:c>
      <x:c r="D7" s="62" t="str">
        <x:v>一致</x:v>
      </x:c>
      <x:c r="E7" s="62" t="str"/>
    </x:row>
    <x:row r="8">
      <x:c r="A8" s="62" t="str">
        <x:v>scripts/audit_pending_approval_links.js</x:v>
      </x:c>
      <x:c r="B8" s="62" t="str">
        <x:v>c7e1e3af9a2711ea</x:v>
      </x:c>
      <x:c r="C8" s="62" t="str">
        <x:v>c7e1e3af9a2711ea</x:v>
      </x:c>
      <x:c r="D8" s="62" t="str">
        <x:v>一致</x:v>
      </x:c>
      <x:c r="E8" s="62" t="str"/>
    </x:row>
    <x:row r="9">
      <x:c r="A9" s="62" t="str">
        <x:v>scripts/build_user_open_id_map.ts</x:v>
      </x:c>
      <x:c r="B9" s="62" t="str">
        <x:v>1617ca2d40e8f2c3</x:v>
      </x:c>
      <x:c r="C9" s="62" t="str">
        <x:v>1617ca2d40e8f2c3</x:v>
      </x:c>
      <x:c r="D9" s="62" t="str">
        <x:v>一致</x:v>
      </x:c>
      <x:c r="E9" s="62" t="str"/>
    </x:row>
    <x:row r="10">
      <x:c r="A10" s="62" t="str">
        <x:v>scripts/check_service_status.ps1</x:v>
      </x:c>
      <x:c r="B10" s="62" t="str">
        <x:v>23fb7507b6a9200a</x:v>
      </x:c>
      <x:c r="C10" s="62" t="str">
        <x:v>23fb7507b6a9200a</x:v>
      </x:c>
      <x:c r="D10" s="62" t="str">
        <x:v>一致</x:v>
      </x:c>
      <x:c r="E10" s="62" t="str"/>
    </x:row>
    <x:row r="11">
      <x:c r="A11" s="62" t="str">
        <x:v>scripts/correct_order_product_name.ts</x:v>
      </x:c>
      <x:c r="B11" s="62" t="str">
        <x:v>a0818e22e131f4a3</x:v>
      </x:c>
      <x:c r="C11" s="62" t="str">
        <x:v>a0818e22e131f4a3</x:v>
      </x:c>
      <x:c r="D11" s="62" t="str">
        <x:v>一致</x:v>
      </x:c>
      <x:c r="E11" s="62" t="str"/>
    </x:row>
    <x:row r="12">
      <x:c r="A12" s="62" t="str">
        <x:v>scripts/create_external_approval.ts</x:v>
      </x:c>
      <x:c r="B12" s="62" t="str">
        <x:v>0af56633894c075f</x:v>
      </x:c>
      <x:c r="C12" s="62" t="str">
        <x:v>0af56633894c075f</x:v>
      </x:c>
      <x:c r="D12" s="62" t="str">
        <x:v>一致</x:v>
      </x:c>
      <x:c r="E12" s="62" t="str"/>
    </x:row>
    <x:row r="13">
      <x:c r="A13" s="62" t="str">
        <x:v>scripts/create_test_external_instance.ts</x:v>
      </x:c>
      <x:c r="B13" s="62" t="str">
        <x:v>b3564b8f69629546</x:v>
      </x:c>
      <x:c r="C13" s="62" t="str">
        <x:v>b3564b8f69629546</x:v>
      </x:c>
      <x:c r="D13" s="62" t="str">
        <x:v>一致</x:v>
      </x:c>
      <x:c r="E13" s="62" t="str"/>
    </x:row>
    <x:row r="14">
      <x:c r="A14" s="62" t="str">
        <x:v>scripts/feishu_token_check.ts</x:v>
      </x:c>
      <x:c r="B14" s="62" t="str">
        <x:v>7962933345348899</x:v>
      </x:c>
      <x:c r="C14" s="62" t="str">
        <x:v>7962933345348899</x:v>
      </x:c>
      <x:c r="D14" s="62" t="str">
        <x:v>一致</x:v>
      </x:c>
      <x:c r="E14" s="62" t="str"/>
    </x:row>
    <x:row r="15">
      <x:c r="A15" s="62" t="str">
        <x:v>scripts/generate_order_workbench_links.ts</x:v>
      </x:c>
      <x:c r="B15" s="62" t="str">
        <x:v>5b92b192952dc0f4</x:v>
      </x:c>
      <x:c r="C15" s="62" t="str">
        <x:v>5b92b192952dc0f4</x:v>
      </x:c>
      <x:c r="D15" s="62" t="str">
        <x:v>一致</x:v>
      </x:c>
      <x:c r="E15" s="62" t="str"/>
    </x:row>
    <x:row r="16">
      <x:c r="A16" s="62" t="str">
        <x:v>scripts/get_external_approval.ts</x:v>
      </x:c>
      <x:c r="B16" s="62" t="str">
        <x:v>60eb4a8ab6fc33aa</x:v>
      </x:c>
      <x:c r="C16" s="62" t="str">
        <x:v>60eb4a8ab6fc33aa</x:v>
      </x:c>
      <x:c r="D16" s="62" t="str">
        <x:v>一致</x:v>
      </x:c>
      <x:c r="E16" s="62" t="str"/>
    </x:row>
    <x:row r="17">
      <x:c r="A17" s="62" t="str">
        <x:v>scripts/install_service_watchdog_task.ps1</x:v>
      </x:c>
      <x:c r="B17" s="62" t="str">
        <x:v>5f198c57ffb83178</x:v>
      </x:c>
      <x:c r="C17" s="62" t="str">
        <x:v>5f198c57ffb83178</x:v>
      </x:c>
      <x:c r="D17" s="62" t="str">
        <x:v>一致</x:v>
      </x:c>
      <x:c r="E17" s="62" t="str"/>
    </x:row>
    <x:row r="18">
      <x:c r="A18" s="62" t="str">
        <x:v>scripts/migrate_approval_role_map_app_ids.ts</x:v>
      </x:c>
      <x:c r="B18" s="62" t="str">
        <x:v>89f438132c9d936a</x:v>
      </x:c>
      <x:c r="C18" s="62" t="str">
        <x:v>89f438132c9d936a</x:v>
      </x:c>
      <x:c r="D18" s="62" t="str">
        <x:v>一致</x:v>
      </x:c>
      <x:c r="E18" s="62" t="str"/>
    </x:row>
    <x:row r="19">
      <x:c r="A19" s="62" t="str">
        <x:v>scripts/repair_order_task_links.ts</x:v>
      </x:c>
      <x:c r="B19" s="62" t="str">
        <x:v>f7a8be6bdd15e52b</x:v>
      </x:c>
      <x:c r="C19" s="62" t="str">
        <x:v>f7a8be6bdd15e52b</x:v>
      </x:c>
      <x:c r="D19" s="62" t="str">
        <x:v>一致</x:v>
      </x:c>
      <x:c r="E19" s="62" t="str"/>
    </x:row>
    <x:row r="20">
      <x:c r="A20" s="62" t="str">
        <x:v>scripts/service_watchdog.ps1</x:v>
      </x:c>
      <x:c r="B20" s="62" t="str">
        <x:v>c7be392e91ac9530</x:v>
      </x:c>
      <x:c r="C20" s="62" t="str">
        <x:v>c7be392e91ac9530</x:v>
      </x:c>
      <x:c r="D20" s="62" t="str">
        <x:v>一致</x:v>
      </x:c>
      <x:c r="E20" s="62" t="str"/>
    </x:row>
    <x:row r="21">
      <x:c r="A21" s="62" t="str">
        <x:v>scripts/sync_user_open_id_map_from_feishu.ts</x:v>
      </x:c>
      <x:c r="B21" s="62" t="str">
        <x:v>800eddd23ed4109f</x:v>
      </x:c>
      <x:c r="C21" s="62" t="str">
        <x:v>800eddd23ed4109f</x:v>
      </x:c>
      <x:c r="D21" s="62" t="str">
        <x:v>一致</x:v>
      </x:c>
      <x:c r="E21" s="62" t="str"/>
    </x:row>
    <x:row r="22">
      <x:c r="A22" s="62" t="str">
        <x:v>server.before-wecombridge.ts</x:v>
      </x:c>
      <x:c r="B22" s="62" t="str"/>
      <x:c r="C22" s="62" t="str">
        <x:v>4418cbeebfee5c69</x:v>
      </x:c>
      <x:c r="D22" s="62" t="str">
        <x:v>不纳入部署</x:v>
      </x:c>
      <x:c r="E22" s="62" t="str">
        <x:v>历史备份源码，不属于当前运行入口和正式部署清单</x:v>
      </x:c>
    </x:row>
    <x:row r="23">
      <x:c r="A23" s="62" t="str">
        <x:v>src/config/env.ts</x:v>
      </x:c>
      <x:c r="B23" s="62" t="str">
        <x:v>5b7c223de373999c</x:v>
      </x:c>
      <x:c r="C23" s="62" t="str">
        <x:v>5b7c223de373999c</x:v>
      </x:c>
      <x:c r="D23" s="62" t="str">
        <x:v>一致</x:v>
      </x:c>
      <x:c r="E23" s="62" t="str"/>
    </x:row>
    <x:row r="24">
      <x:c r="A24" s="62" t="str">
        <x:v>src/feishu/approvalBotMessage.ts</x:v>
      </x:c>
      <x:c r="B24" s="62" t="str">
        <x:v>37ab8e2411c068e1</x:v>
      </x:c>
      <x:c r="C24" s="62" t="str">
        <x:v>37ab8e2411c068e1</x:v>
      </x:c>
      <x:c r="D24" s="62" t="str">
        <x:v>一致</x:v>
      </x:c>
      <x:c r="E24" s="62" t="str"/>
    </x:row>
    <x:row r="25">
      <x:c r="A25" s="62" t="str">
        <x:v>src/feishu/bitable.ts</x:v>
      </x:c>
      <x:c r="B25" s="62" t="str">
        <x:v>8ec4884cd3335894</x:v>
      </x:c>
      <x:c r="C25" s="62" t="str">
        <x:v>8ec4884cd3335894</x:v>
      </x:c>
      <x:c r="D25" s="62" t="str">
        <x:v>一致</x:v>
      </x:c>
      <x:c r="E25" s="62" t="str"/>
    </x:row>
    <x:row r="26">
      <x:c r="A26" s="62" t="str">
        <x:v>src/feishu/contact.ts</x:v>
      </x:c>
      <x:c r="B26" s="62" t="str">
        <x:v>64e45fca6b5bb50a</x:v>
      </x:c>
      <x:c r="C26" s="62" t="str">
        <x:v>64e45fca6b5bb50a</x:v>
      </x:c>
      <x:c r="D26" s="62" t="str">
        <x:v>一致</x:v>
      </x:c>
      <x:c r="E26" s="62" t="str"/>
    </x:row>
    <x:row r="27">
      <x:c r="A27" s="62" t="str">
        <x:v>src/feishu/externalApproval.ts</x:v>
      </x:c>
      <x:c r="B27" s="62" t="str">
        <x:v>418c09b656afc976</x:v>
      </x:c>
      <x:c r="C27" s="62" t="str">
        <x:v>418c09b656afc976</x:v>
      </x:c>
      <x:c r="D27" s="62" t="str">
        <x:v>一致</x:v>
      </x:c>
      <x:c r="E27" s="62" t="str"/>
    </x:row>
    <x:row r="28">
      <x:c r="A28" s="62" t="str">
        <x:v>src/feishu/externalInstance.ts</x:v>
      </x:c>
      <x:c r="B28" s="62" t="str">
        <x:v>50d1217a9065340e</x:v>
      </x:c>
      <x:c r="C28" s="62" t="str">
        <x:v>50d1217a9065340e</x:v>
      </x:c>
      <x:c r="D28" s="62" t="str">
        <x:v>一致</x:v>
      </x:c>
      <x:c r="E28" s="62" t="str"/>
    </x:row>
    <x:row r="29">
      <x:c r="A29" s="62" t="str">
        <x:v>src/feishu/instancesQuery.ts</x:v>
      </x:c>
      <x:c r="B29" s="62" t="str">
        <x:v>f743c74f0df65d20</x:v>
      </x:c>
      <x:c r="C29" s="62" t="str">
        <x:v>f743c74f0df65d20</x:v>
      </x:c>
      <x:c r="D29" s="62" t="str">
        <x:v>一致</x:v>
      </x:c>
      <x:c r="E29" s="62" t="str"/>
    </x:row>
    <x:row r="30">
      <x:c r="A30" s="62" t="str">
        <x:v>src/feishu/token.ts</x:v>
      </x:c>
      <x:c r="B30" s="62" t="str">
        <x:v>d30d3db10fd617ca</x:v>
      </x:c>
      <x:c r="C30" s="62" t="str">
        <x:v>d30d3db10fd617ca</x:v>
      </x:c>
      <x:c r="D30" s="62" t="str">
        <x:v>一致</x:v>
      </x:c>
      <x:c r="E30" s="62" t="str"/>
    </x:row>
    <x:row r="31">
      <x:c r="A31" s="62" t="str">
        <x:v>src/routes/approvalAdmin.ts</x:v>
      </x:c>
      <x:c r="B31" s="62" t="str">
        <x:v>92c2bafcd2860093</x:v>
      </x:c>
      <x:c r="C31" s="62" t="str">
        <x:v>92c2bafcd2860093</x:v>
      </x:c>
      <x:c r="D31" s="62" t="str">
        <x:v>一致</x:v>
      </x:c>
      <x:c r="E31" s="62" t="str"/>
    </x:row>
    <x:row r="32">
      <x:c r="A32" s="62" t="str">
        <x:v>src/routes/approvalComments.ts</x:v>
      </x:c>
      <x:c r="B32" s="62" t="str">
        <x:v>a0d2007ee73796cd</x:v>
      </x:c>
      <x:c r="C32" s="62" t="str">
        <x:v>a0d2007ee73796cd</x:v>
      </x:c>
      <x:c r="D32" s="62" t="str">
        <x:v>一致</x:v>
      </x:c>
      <x:c r="E32" s="62" t="str"/>
    </x:row>
    <x:row r="33">
      <x:c r="A33" s="62" t="str">
        <x:v>src/routes/approvalFlowConfig.ts</x:v>
      </x:c>
      <x:c r="B33" s="62" t="str">
        <x:v>fd096b53a4f1ac9d</x:v>
      </x:c>
      <x:c r="C33" s="62" t="str">
        <x:v>fd096b53a4f1ac9d</x:v>
      </x:c>
      <x:c r="D33" s="62" t="str">
        <x:v>一致</x:v>
      </x:c>
      <x:c r="E33" s="62" t="str"/>
    </x:row>
    <x:row r="34">
      <x:c r="A34" s="62" t="str">
        <x:v>src/routes/approvalMonitor.ts</x:v>
      </x:c>
      <x:c r="B34" s="62" t="str">
        <x:v>ef3f9550fdd8dc42</x:v>
      </x:c>
      <x:c r="C34" s="62" t="str">
        <x:v>ef3f9550fdd8dc42</x:v>
      </x:c>
      <x:c r="D34" s="62" t="str">
        <x:v>一致</x:v>
      </x:c>
      <x:c r="E34" s="62" t="str"/>
    </x:row>
    <x:row r="35">
      <x:c r="A35" s="62" t="str">
        <x:v>src/routes/bitableCustomerLookup.ts</x:v>
      </x:c>
      <x:c r="B35" s="62" t="str">
        <x:v>90ef1c6430f754eb</x:v>
      </x:c>
      <x:c r="C35" s="62" t="str">
        <x:v>90ef1c6430f754eb</x:v>
      </x:c>
      <x:c r="D35" s="62" t="str">
        <x:v>一致</x:v>
      </x:c>
      <x:c r="E35" s="62" t="str"/>
    </x:row>
    <x:row r="36">
      <x:c r="A36" s="62" t="str">
        <x:v>src/routes/bitableFlowSync.ts</x:v>
      </x:c>
      <x:c r="B36" s="62" t="str">
        <x:v>b39f843d58f15c62</x:v>
      </x:c>
      <x:c r="C36" s="62" t="str">
        <x:v>b39f843d58f15c62</x:v>
      </x:c>
      <x:c r="D36" s="62" t="str">
        <x:v>一致</x:v>
      </x:c>
      <x:c r="E36" s="62" t="str"/>
    </x:row>
    <x:row r="37">
      <x:c r="A37" s="62" t="str">
        <x:v>src/routes/bitableProductLookup.ts</x:v>
      </x:c>
      <x:c r="B37" s="62" t="str">
        <x:v>af5c937e71c0b7b5</x:v>
      </x:c>
      <x:c r="C37" s="62" t="str">
        <x:v>af5c937e71c0b7b5</x:v>
      </x:c>
      <x:c r="D37" s="62" t="str">
        <x:v>一致</x:v>
      </x:c>
      <x:c r="E37" s="62" t="str"/>
    </x:row>
    <x:row r="38">
      <x:c r="A38" s="62" t="str">
        <x:v>src/routes/businessReconciliation.ts</x:v>
      </x:c>
      <x:c r="B38" s="62" t="str">
        <x:v>200562bfe7e65fb8</x:v>
      </x:c>
      <x:c r="C38" s="62" t="str">
        <x:v>200562bfe7e65fb8</x:v>
      </x:c>
      <x:c r="D38" s="62" t="str">
        <x:v>一致</x:v>
      </x:c>
      <x:c r="E38" s="62" t="str"/>
    </x:row>
    <x:row r="39">
      <x:c r="A39" s="62" t="str">
        <x:v>src/routes/companyTaxLookup.ts</x:v>
      </x:c>
      <x:c r="B39" s="62" t="str">
        <x:v>f041ba048b82ad21</x:v>
      </x:c>
      <x:c r="C39" s="62" t="str">
        <x:v>f041ba048b82ad21</x:v>
      </x:c>
      <x:c r="D39" s="62" t="str">
        <x:v>一致</x:v>
      </x:c>
      <x:c r="E39" s="62" t="str"/>
    </x:row>
    <x:row r="40">
      <x:c r="A40" s="62" t="str">
        <x:v>src/routes/externalOrders.ts</x:v>
      </x:c>
      <x:c r="B40" s="62" t="str">
        <x:v>d8e6f83a73bc47dc</x:v>
      </x:c>
      <x:c r="C40" s="62" t="str">
        <x:v>d8e6f83a73bc47dc</x:v>
      </x:c>
      <x:c r="D40" s="62" t="str">
        <x:v>一致</x:v>
      </x:c>
      <x:c r="E40" s="62" t="str"/>
    </x:row>
    <x:row r="41">
      <x:c r="A41" s="62" t="str">
        <x:v>src/routes/feishuActionCallback.ts</x:v>
      </x:c>
      <x:c r="B41" s="62" t="str">
        <x:v>b7131d78f6a3ac5b</x:v>
      </x:c>
      <x:c r="C41" s="62" t="str">
        <x:v>b7131d78f6a3ac5b</x:v>
      </x:c>
      <x:c r="D41" s="62" t="str">
        <x:v>一致</x:v>
      </x:c>
      <x:c r="E41" s="62" t="str"/>
    </x:row>
    <x:row r="42">
      <x:c r="A42" s="62" t="str">
        <x:v>src/routes/flows.ts</x:v>
      </x:c>
      <x:c r="B42" s="62" t="str">
        <x:v>4a159ac553b87c42</x:v>
      </x:c>
      <x:c r="C42" s="62" t="str">
        <x:v>4a159ac553b87c42</x:v>
      </x:c>
      <x:c r="D42" s="62" t="str">
        <x:v>一致</x:v>
      </x:c>
      <x:c r="E42" s="62" t="str"/>
    </x:row>
    <x:row r="43">
      <x:c r="A43" s="62" t="str">
        <x:v>src/routes/health.ts</x:v>
      </x:c>
      <x:c r="B43" s="62" t="str">
        <x:v>210e0d42d5b84820</x:v>
      </x:c>
      <x:c r="C43" s="62" t="str">
        <x:v>210e0d42d5b84820</x:v>
      </x:c>
      <x:c r="D43" s="62" t="str">
        <x:v>一致</x:v>
      </x:c>
      <x:c r="E43" s="62" t="str"/>
    </x:row>
    <x:row r="44">
      <x:c r="A44" s="62" t="str">
        <x:v>src/routes/invoices.ts</x:v>
      </x:c>
      <x:c r="B44" s="62" t="str">
        <x:v>f3633add01571825</x:v>
      </x:c>
      <x:c r="C44" s="62" t="str">
        <x:v>f3633add01571825</x:v>
      </x:c>
      <x:c r="D44" s="62" t="str">
        <x:v>一致</x:v>
      </x:c>
      <x:c r="E44" s="62" t="str"/>
    </x:row>
    <x:row r="45">
      <x:c r="A45" s="62" t="str">
        <x:v>src/routes/orderWorkbench.ts</x:v>
      </x:c>
      <x:c r="B45" s="62" t="str">
        <x:v>555fdab8f8f225a3</x:v>
      </x:c>
      <x:c r="C45" s="62" t="str">
        <x:v>555fdab8f8f225a3</x:v>
      </x:c>
      <x:c r="D45" s="62" t="str">
        <x:v>一致</x:v>
      </x:c>
      <x:c r="E45" s="62" t="str"/>
    </x:row>
    <x:row r="46">
      <x:c r="A46" s="62" t="str">
        <x:v>src/routes/shipments.ts</x:v>
      </x:c>
      <x:c r="B46" s="62" t="str">
        <x:v>ef937e3339ee2614</x:v>
      </x:c>
      <x:c r="C46" s="62" t="str">
        <x:v>ef937e3339ee2614</x:v>
      </x:c>
      <x:c r="D46" s="62" t="str">
        <x:v>一致</x:v>
      </x:c>
      <x:c r="E46" s="62" t="str"/>
    </x:row>
    <x:row r="47">
      <x:c r="A47" s="62" t="str">
        <x:v>src/routes/stockPrepares.ts</x:v>
      </x:c>
      <x:c r="B47" s="62" t="str">
        <x:v>34cb47529910ad87</x:v>
      </x:c>
      <x:c r="C47" s="62" t="str">
        <x:v>34cb47529910ad87</x:v>
      </x:c>
      <x:c r="D47" s="62" t="str">
        <x:v>一致</x:v>
      </x:c>
      <x:c r="E47" s="62" t="str"/>
    </x:row>
    <x:row r="48">
      <x:c r="A48" s="62" t="str">
        <x:v>src/routes/webCreateApp.ts</x:v>
      </x:c>
      <x:c r="B48" s="62" t="str">
        <x:v>baa0881a3aa7ae4f</x:v>
      </x:c>
      <x:c r="C48" s="62" t="str">
        <x:v>baa0881a3aa7ae4f</x:v>
      </x:c>
      <x:c r="D48" s="62" t="str">
        <x:v>一致</x:v>
      </x:c>
      <x:c r="E48" s="62" t="str"/>
    </x:row>
    <x:row r="49">
      <x:c r="A49" s="62" t="str">
        <x:v>src/routes/wecomProductionBridge.ts</x:v>
      </x:c>
      <x:c r="B49" s="62" t="str">
        <x:v>4dc826d7420848dd</x:v>
      </x:c>
      <x:c r="C49" s="62" t="str">
        <x:v>4dc826d7420848dd</x:v>
      </x:c>
      <x:c r="D49" s="62" t="str">
        <x:v>一致</x:v>
      </x:c>
      <x:c r="E49" s="62" t="str"/>
    </x:row>
    <x:row r="50">
      <x:c r="A50" s="62" t="str">
        <x:v>src/server.ts</x:v>
      </x:c>
      <x:c r="B50" s="62" t="str">
        <x:v>674e22a5cf2969ec</x:v>
      </x:c>
      <x:c r="C50" s="62" t="str">
        <x:v>674e22a5cf2969ec</x:v>
      </x:c>
      <x:c r="D50" s="62" t="str">
        <x:v>一致</x:v>
      </x:c>
      <x:c r="E50" s="62" t="str"/>
    </x:row>
    <x:row r="51">
      <x:c r="A51" s="62" t="str">
        <x:v>src/services/apiMonitor.ts</x:v>
      </x:c>
      <x:c r="B51" s="62" t="str">
        <x:v>a65fec706a8fad44</x:v>
      </x:c>
      <x:c r="C51" s="62" t="str">
        <x:v>a65fec706a8fad44</x:v>
      </x:c>
      <x:c r="D51" s="62" t="str">
        <x:v>一致</x:v>
      </x:c>
      <x:c r="E51" s="62" t="str"/>
    </x:row>
    <x:row r="52">
      <x:c r="A52" s="62" t="str">
        <x:v>src/services/approvalBotStatus.ts</x:v>
      </x:c>
      <x:c r="B52" s="62" t="str">
        <x:v>fdf6470047b47737</x:v>
      </x:c>
      <x:c r="C52" s="62" t="str">
        <x:v>fdf6470047b47737</x:v>
      </x:c>
      <x:c r="D52" s="62" t="str">
        <x:v>一致</x:v>
      </x:c>
      <x:c r="E52" s="62" t="str"/>
    </x:row>
    <x:row r="53">
      <x:c r="A53" s="62" t="str">
        <x:v>src/services/approvalCcNotification.ts</x:v>
      </x:c>
      <x:c r="B53" s="62" t="str">
        <x:v>d7a546d67568cca3</x:v>
      </x:c>
      <x:c r="C53" s="62" t="str">
        <x:v>d7a546d67568cca3</x:v>
      </x:c>
      <x:c r="D53" s="62" t="str">
        <x:v>一致</x:v>
      </x:c>
      <x:c r="E53" s="62" t="str"/>
    </x:row>
    <x:row r="54">
      <x:c r="A54" s="62" t="str">
        <x:v>src/services/approvalComments.ts</x:v>
      </x:c>
      <x:c r="B54" s="62" t="str">
        <x:v>e624ad22254ada79</x:v>
      </x:c>
      <x:c r="C54" s="62" t="str">
        <x:v>e624ad22254ada79</x:v>
      </x:c>
      <x:c r="D54" s="62" t="str">
        <x:v>一致</x:v>
      </x:c>
      <x:c r="E54" s="62" t="str"/>
    </x:row>
    <x:row r="55">
      <x:c r="A55" s="62" t="str">
        <x:v>src/services/approvalEntryLinks.ts</x:v>
      </x:c>
      <x:c r="B55" s="62" t="str">
        <x:v>4271285f5ca6c399</x:v>
      </x:c>
      <x:c r="C55" s="62" t="str">
        <x:v>4271285f5ca6c399</x:v>
      </x:c>
      <x:c r="D55" s="62" t="str">
        <x:v>一致</x:v>
      </x:c>
      <x:c r="E55" s="62" t="str"/>
    </x:row>
    <x:row r="56">
      <x:c r="A56" s="62" t="str">
        <x:v>src/services/approvalMaintenanceNotification.ts</x:v>
      </x:c>
      <x:c r="B56" s="62" t="str">
        <x:v>df8a5ad81b7ecfbe</x:v>
      </x:c>
      <x:c r="C56" s="62" t="str">
        <x:v>df8a5ad81b7ecfbe</x:v>
      </x:c>
      <x:c r="D56" s="62" t="str">
        <x:v>一致</x:v>
      </x:c>
      <x:c r="E56" s="62" t="str"/>
    </x:row>
    <x:row r="57">
      <x:c r="A57" s="62" t="str">
        <x:v>src/services/approvalOrSign.ts</x:v>
      </x:c>
      <x:c r="B57" s="62" t="str">
        <x:v>1690321970ce58ed</x:v>
      </x:c>
      <x:c r="C57" s="62" t="str">
        <x:v>1690321970ce58ed</x:v>
      </x:c>
      <x:c r="D57" s="62" t="str">
        <x:v>一致</x:v>
      </x:c>
      <x:c r="E57" s="62" t="str"/>
    </x:row>
    <x:row r="58">
      <x:c r="A58" s="62" t="str">
        <x:v>src/services/approvalWebIdentity.ts</x:v>
      </x:c>
      <x:c r="B58" s="62" t="str">
        <x:v>50ab22bd197db0d4</x:v>
      </x:c>
      <x:c r="C58" s="62" t="str">
        <x:v>50ab22bd197db0d4</x:v>
      </x:c>
      <x:c r="D58" s="62" t="str">
        <x:v>一致</x:v>
      </x:c>
      <x:c r="E58" s="62" t="str"/>
    </x:row>
    <x:row r="59">
      <x:c r="A59" s="62" t="str">
        <x:v>src/services/attachmentDisplay.ts</x:v>
      </x:c>
      <x:c r="B59" s="62" t="str">
        <x:v>2c538f2f57827a34</x:v>
      </x:c>
      <x:c r="C59" s="62" t="str">
        <x:v>2c538f2f57827a34</x:v>
      </x:c>
      <x:c r="D59" s="62" t="str">
        <x:v>一致</x:v>
      </x:c>
      <x:c r="E59" s="62" t="str"/>
    </x:row>
    <x:row r="60">
      <x:c r="A60" s="62" t="str">
        <x:v>src/services/backgroundJobs.ts</x:v>
      </x:c>
      <x:c r="B60" s="62" t="str">
        <x:v>8af40db720fa660d</x:v>
      </x:c>
      <x:c r="C60" s="62" t="str">
        <x:v>8af40db720fa660d</x:v>
      </x:c>
      <x:c r="D60" s="62" t="str">
        <x:v>一致</x:v>
      </x:c>
      <x:c r="E60" s="62" t="str"/>
    </x:row>
    <x:row r="61">
      <x:c r="A61" s="62" t="str">
        <x:v>src/services/contractDisplay.ts</x:v>
      </x:c>
      <x:c r="B61" s="62" t="str">
        <x:v>e875fce05cd5d0dc</x:v>
      </x:c>
      <x:c r="C61" s="62" t="str">
        <x:v>e875fce05cd5d0dc</x:v>
      </x:c>
      <x:c r="D61" s="62" t="str">
        <x:v>一致</x:v>
      </x:c>
      <x:c r="E61" s="62" t="str"/>
    </x:row>
    <x:row r="62">
      <x:c r="A62" s="62" t="str">
        <x:v>src/services/createOrderAuth.ts</x:v>
      </x:c>
      <x:c r="B62" s="62" t="str">
        <x:v>12461ad8c660ba4b</x:v>
      </x:c>
      <x:c r="C62" s="62" t="str">
        <x:v>12461ad8c660ba4b</x:v>
      </x:c>
      <x:c r="D62" s="62" t="str">
        <x:v>一致</x:v>
      </x:c>
      <x:c r="E62" s="62" t="str"/>
    </x:row>
    <x:row r="63">
      <x:c r="A63" s="62" t="str">
        <x:v>src/services/createOrderValidation.ts</x:v>
      </x:c>
      <x:c r="B63" s="62" t="str">
        <x:v>146c305310300ad1</x:v>
      </x:c>
      <x:c r="C63" s="62" t="str">
        <x:v>146c305310300ad1</x:v>
      </x:c>
      <x:c r="D63" s="62" t="str">
        <x:v>一致</x:v>
      </x:c>
      <x:c r="E63" s="62" t="str"/>
    </x:row>
    <x:row r="64">
      <x:c r="A64" s="62" t="str">
        <x:v>src/services/customerBitableSync.ts</x:v>
      </x:c>
      <x:c r="B64" s="62" t="str">
        <x:v>5a12117508779d9a</x:v>
      </x:c>
      <x:c r="C64" s="62" t="str">
        <x:v>5a12117508779d9a</x:v>
      </x:c>
      <x:c r="D64" s="62" t="str">
        <x:v>一致</x:v>
      </x:c>
      <x:c r="E64" s="62" t="str"/>
    </x:row>
    <x:row r="65">
      <x:c r="A65" s="62" t="str">
        <x:v>src/services/customerNameRules.ts</x:v>
      </x:c>
      <x:c r="B65" s="62" t="str">
        <x:v>124c4b01e02a2898</x:v>
      </x:c>
      <x:c r="C65" s="62" t="str">
        <x:v>124c4b01e02a2898</x:v>
      </x:c>
      <x:c r="D65" s="62" t="str">
        <x:v>一致</x:v>
      </x:c>
      <x:c r="E65" s="62" t="str"/>
    </x:row>
    <x:row r="66">
      <x:c r="A66" s="62" t="str">
        <x:v>src/services/externalInstanceBaseRequest.ts</x:v>
      </x:c>
      <x:c r="B66" s="62" t="str">
        <x:v>76a824bd484e078c</x:v>
      </x:c>
      <x:c r="C66" s="62" t="str">
        <x:v>76a824bd484e078c</x:v>
      </x:c>
      <x:c r="D66" s="62" t="str">
        <x:v>一致</x:v>
      </x:c>
      <x:c r="E66" s="62" t="str"/>
    </x:row>
    <x:row r="67">
      <x:c r="A67" s="62" t="str">
        <x:v>src/services/externalInstanceCancel.ts</x:v>
      </x:c>
      <x:c r="B67" s="62" t="str">
        <x:v>e7c07186195eb00d</x:v>
      </x:c>
      <x:c r="C67" s="62" t="str">
        <x:v>e7c07186195eb00d</x:v>
      </x:c>
      <x:c r="D67" s="62" t="str">
        <x:v>一致</x:v>
      </x:c>
      <x:c r="E67" s="62" t="str"/>
    </x:row>
    <x:row r="68">
      <x:c r="A68" s="62" t="str">
        <x:v>src/services/externalInstanceCc.ts</x:v>
      </x:c>
      <x:c r="B68" s="62" t="str">
        <x:v>41559347c064e4f7</x:v>
      </x:c>
      <x:c r="C68" s="62" t="str">
        <x:v>41559347c064e4f7</x:v>
      </x:c>
      <x:c r="D68" s="62" t="str">
        <x:v>一致</x:v>
      </x:c>
      <x:c r="E68" s="62" t="str"/>
    </x:row>
    <x:row r="69">
      <x:c r="A69" s="62" t="str">
        <x:v>src/services/feishuJsapiSignature.ts</x:v>
      </x:c>
      <x:c r="B69" s="62" t="str">
        <x:v>50b5687124ed21b5</x:v>
      </x:c>
      <x:c r="C69" s="62" t="str">
        <x:v>50b5687124ed21b5</x:v>
      </x:c>
      <x:c r="D69" s="62" t="str">
        <x:v>一致</x:v>
      </x:c>
      <x:c r="E69" s="62" t="str"/>
    </x:row>
    <x:row r="70">
      <x:c r="A70" s="62" t="str">
        <x:v>src/services/feishuUserAliases.ts</x:v>
      </x:c>
      <x:c r="B70" s="62" t="str">
        <x:v>8c9c100b47f8e053</x:v>
      </x:c>
      <x:c r="C70" s="62" t="str">
        <x:v>8c9c100b47f8e053</x:v>
      </x:c>
      <x:c r="D70" s="62" t="str">
        <x:v>一致</x:v>
      </x:c>
      <x:c r="E70" s="62" t="str"/>
    </x:row>
    <x:row r="71">
      <x:c r="A71" s="62" t="str">
        <x:v>src/services/finalizeOrderContract.ts</x:v>
      </x:c>
      <x:c r="B71" s="62" t="str">
        <x:v>eaa912482c0ab44c</x:v>
      </x:c>
      <x:c r="C71" s="62" t="str">
        <x:v>eaa912482c0ab44c</x:v>
      </x:c>
      <x:c r="D71" s="62" t="str">
        <x:v>一致</x:v>
      </x:c>
      <x:c r="E71" s="62" t="str"/>
    </x:row>
    <x:row r="72">
      <x:c r="A72" s="62" t="str">
        <x:v>src/services/flowBitableSync.ts</x:v>
      </x:c>
      <x:c r="B72" s="62" t="str">
        <x:v>dadf581204d798f6</x:v>
      </x:c>
      <x:c r="C72" s="62" t="str">
        <x:v>dadf581204d798f6</x:v>
      </x:c>
      <x:c r="D72" s="62" t="str">
        <x:v>一致</x:v>
      </x:c>
      <x:c r="E72" s="62" t="str"/>
    </x:row>
    <x:row r="73">
      <x:c r="A73" s="62" t="str">
        <x:v>src/services/generateContract.ts</x:v>
      </x:c>
      <x:c r="B73" s="62" t="str">
        <x:v>6264dcabfe68777e</x:v>
      </x:c>
      <x:c r="C73" s="62" t="str">
        <x:v>6264dcabfe68777e</x:v>
      </x:c>
      <x:c r="D73" s="62" t="str">
        <x:v>一致</x:v>
      </x:c>
      <x:c r="E73" s="62" t="str"/>
    </x:row>
    <x:row r="74">
      <x:c r="A74" s="62" t="str">
        <x:v>src/services/invoiceApplication.ts</x:v>
      </x:c>
      <x:c r="B74" s="62" t="str">
        <x:v>50b3cf1e9fd2abed</x:v>
      </x:c>
      <x:c r="C74" s="62" t="str">
        <x:v>50b3cf1e9fd2abed</x:v>
      </x:c>
      <x:c r="D74" s="62" t="str">
        <x:v>一致</x:v>
      </x:c>
      <x:c r="E74" s="62" t="str"/>
    </x:row>
    <x:row r="75">
      <x:c r="A75" s="62" t="str">
        <x:v>src/services/invoiceApproval.ts</x:v>
      </x:c>
      <x:c r="B75" s="62" t="str">
        <x:v>f5280c33d71f3798</x:v>
      </x:c>
      <x:c r="C75" s="62" t="str">
        <x:v>f5280c33d71f3798</x:v>
      </x:c>
      <x:c r="D75" s="62" t="str">
        <x:v>一致</x:v>
      </x:c>
      <x:c r="E75" s="62" t="str"/>
    </x:row>
    <x:row r="76">
      <x:c r="A76" s="62" t="str">
        <x:v>src/services/invoiceMaterialPackage.ts</x:v>
      </x:c>
      <x:c r="B76" s="62" t="str">
        <x:v>76378cfb98212574</x:v>
      </x:c>
      <x:c r="C76" s="62" t="str">
        <x:v>76378cfb98212574</x:v>
      </x:c>
      <x:c r="D76" s="62" t="str">
        <x:v>一致</x:v>
      </x:c>
      <x:c r="E76" s="62" t="str"/>
    </x:row>
    <x:row r="77">
      <x:c r="A77" s="62" t="str">
        <x:v>src/services/orderAttachmentDisplay.ts</x:v>
      </x:c>
      <x:c r="B77" s="62" t="str">
        <x:v>39e8541d652d829b</x:v>
      </x:c>
      <x:c r="C77" s="62" t="str">
        <x:v>39e8541d652d829b</x:v>
      </x:c>
      <x:c r="D77" s="62" t="str">
        <x:v>一致</x:v>
      </x:c>
      <x:c r="E77" s="62" t="str"/>
    </x:row>
    <x:row r="78">
      <x:c r="A78" s="62" t="str">
        <x:v>src/services/orderResubmission.ts</x:v>
      </x:c>
      <x:c r="B78" s="62" t="str">
        <x:v>94e59e9920ff5ab8</x:v>
      </x:c>
      <x:c r="C78" s="62" t="str">
        <x:v>94e59e9920ff5ab8</x:v>
      </x:c>
      <x:c r="D78" s="62" t="str">
        <x:v>一致</x:v>
      </x:c>
      <x:c r="E78" s="62" t="str"/>
    </x:row>
    <x:row r="79">
      <x:c r="A79" s="62" t="str">
        <x:v>src/services/outboundOrder.ts</x:v>
      </x:c>
      <x:c r="B79" s="62" t="str">
        <x:v>d8b0fc91bb86ad08</x:v>
      </x:c>
      <x:c r="C79" s="62" t="str">
        <x:v>d8b0fc91bb86ad08</x:v>
      </x:c>
      <x:c r="D79" s="62" t="str">
        <x:v>一致</x:v>
      </x:c>
      <x:c r="E79" s="62" t="str"/>
    </x:row>
    <x:row r="80">
      <x:c r="A80" s="62" t="str">
        <x:v>src/services/productSpecLookup.ts</x:v>
      </x:c>
      <x:c r="B80" s="62" t="str">
        <x:v>f306acbbfd5345dd</x:v>
      </x:c>
      <x:c r="C80" s="62" t="str">
        <x:v>f306acbbfd5345dd</x:v>
      </x:c>
      <x:c r="D80" s="62" t="str">
        <x:v>一致</x:v>
      </x:c>
      <x:c r="E80" s="62" t="str"/>
    </x:row>
    <x:row r="81">
      <x:c r="A81" s="62" t="str">
        <x:v>src/services/shipmentApproval.ts</x:v>
      </x:c>
      <x:c r="B81" s="62" t="str">
        <x:v>d4500f91a8d98acd</x:v>
      </x:c>
      <x:c r="C81" s="62" t="str">
        <x:v>d4500f91a8d98acd</x:v>
      </x:c>
      <x:c r="D81" s="62" t="str">
        <x:v>一致</x:v>
      </x:c>
      <x:c r="E81" s="62" t="str"/>
    </x:row>
    <x:row r="82">
      <x:c r="A82" s="62" t="str">
        <x:v>src/services/shipmentDelayReminder.ts</x:v>
      </x:c>
      <x:c r="B82" s="62" t="str">
        <x:v>c8d1ec4ba3651588</x:v>
      </x:c>
      <x:c r="C82" s="62" t="str">
        <x:v>c8d1ec4ba3651588</x:v>
      </x:c>
      <x:c r="D82" s="62" t="str">
        <x:v>一致</x:v>
      </x:c>
      <x:c r="E82" s="62" t="str"/>
    </x:row>
    <x:row r="83">
      <x:c r="A83" s="62" t="str">
        <x:v>src/services/shipmentWarehouseCorrection.ts</x:v>
      </x:c>
      <x:c r="B83" s="62" t="str">
        <x:v>12d10645b331c51e</x:v>
      </x:c>
      <x:c r="C83" s="62" t="str">
        <x:v>12d10645b331c51e</x:v>
      </x:c>
      <x:c r="D83" s="62" t="str">
        <x:v>一致</x:v>
      </x:c>
      <x:c r="E83" s="62" t="str"/>
    </x:row>
    <x:row r="84">
      <x:c r="A84" s="62" t="str">
        <x:v>src/services/stockPrepareApproval.ts</x:v>
      </x:c>
      <x:c r="B84" s="62" t="str">
        <x:v>6e7715a03f9f7f80</x:v>
      </x:c>
      <x:c r="C84" s="62" t="str">
        <x:v>6e7715a03f9f7f80</x:v>
      </x:c>
      <x:c r="D84" s="62" t="str">
        <x:v>一致</x:v>
      </x:c>
      <x:c r="E84" s="62" t="str"/>
    </x:row>
    <x:row r="85">
      <x:c r="A85" s="62" t="str">
        <x:v>src/services/submitExternalOrder.ts</x:v>
      </x:c>
      <x:c r="B85" s="62" t="str">
        <x:v>8bb35da44af779b3</x:v>
      </x:c>
      <x:c r="C85" s="62" t="str">
        <x:v>8bb35da44af779b3</x:v>
      </x:c>
      <x:c r="D85" s="62" t="str">
        <x:v>一致</x:v>
      </x:c>
      <x:c r="E85" s="62" t="str"/>
    </x:row>
    <x:row r="86">
      <x:c r="A86" s="62" t="str">
        <x:v>src/services/supervisorNotes.ts</x:v>
      </x:c>
      <x:c r="B86" s="62" t="str">
        <x:v>51110f36056b9a31</x:v>
      </x:c>
      <x:c r="C86" s="62" t="str">
        <x:v>51110f36056b9a31</x:v>
      </x:c>
      <x:c r="D86" s="62" t="str">
        <x:v>一致</x:v>
      </x:c>
      <x:c r="E86" s="62" t="str"/>
    </x:row>
    <x:row r="87">
      <x:c r="A87" s="62" t="str">
        <x:v>src/services/warehouseBotIdentity.ts</x:v>
      </x:c>
      <x:c r="B87" s="62" t="str">
        <x:v>21914e3b8720469c</x:v>
      </x:c>
      <x:c r="C87" s="62" t="str">
        <x:v>21914e3b8720469c</x:v>
      </x:c>
      <x:c r="D87" s="62" t="str">
        <x:v>一致</x:v>
      </x:c>
      <x:c r="E87" s="62" t="str"/>
    </x:row>
    <x:row r="88">
      <x:c r="A88" s="62" t="str">
        <x:v>src/services/workbenchAuth.ts</x:v>
      </x:c>
      <x:c r="B88" s="62" t="str">
        <x:v>b1d0dc59366cea39</x:v>
      </x:c>
      <x:c r="C88" s="62" t="str">
        <x:v>b1d0dc59366cea39</x:v>
      </x:c>
      <x:c r="D88" s="62" t="str">
        <x:v>一致</x:v>
      </x:c>
      <x:c r="E88" s="62" t="str"/>
    </x:row>
    <x:row r="89">
      <x:c r="A89" s="62" t="str">
        <x:v>src/services/workbenchIdentity.ts</x:v>
      </x:c>
      <x:c r="B89" s="62" t="str">
        <x:v>4ffc5b3e871002f2</x:v>
      </x:c>
      <x:c r="C89" s="62" t="str">
        <x:v>4ffc5b3e871002f2</x:v>
      </x:c>
      <x:c r="D89" s="62" t="str">
        <x:v>一致</x:v>
      </x:c>
      <x:c r="E89" s="62" t="str"/>
    </x:row>
    <x:row r="90">
      <x:c r="A90" s="62" t="str">
        <x:v>src/shared/createOrderOptions.ts</x:v>
      </x:c>
      <x:c r="B90" s="62" t="str">
        <x:v>83a7053d653dcdf5</x:v>
      </x:c>
      <x:c r="C90" s="62" t="str">
        <x:v>83a7053d653dcdf5</x:v>
      </x:c>
      <x:c r="D90" s="62" t="str">
        <x:v>一致</x:v>
      </x:c>
      <x:c r="E90" s="62" t="str"/>
    </x:row>
    <x:row r="91">
      <x:c r="A91" s="62" t="str">
        <x:v>src/shared/createOrderValidationRules.ts</x:v>
      </x:c>
      <x:c r="B91" s="62" t="str">
        <x:v>0143740a1dd2abd9</x:v>
      </x:c>
      <x:c r="C91" s="62" t="str">
        <x:v>0143740a1dd2abd9</x:v>
      </x:c>
      <x:c r="D91" s="62" t="str">
        <x:v>一致</x:v>
      </x:c>
      <x:c r="E91" s="62" t="str"/>
    </x:row>
    <x:row r="92">
      <x:c r="A92" s="62" t="str">
        <x:v>src/utils/appendJsonl.ts</x:v>
      </x:c>
      <x:c r="B92" s="62" t="str">
        <x:v>7aa208161a2b0bb5</x:v>
      </x:c>
      <x:c r="C92" s="62" t="str">
        <x:v>7aa208161a2b0bb5</x:v>
      </x:c>
      <x:c r="D92" s="62" t="str">
        <x:v>一致</x:v>
      </x:c>
      <x:c r="E92" s="62" t="str"/>
    </x:row>
    <x:row r="93">
      <x:c r="A93" s="62" t="str">
        <x:v>src/utils/ensureDir.ts</x:v>
      </x:c>
      <x:c r="B93" s="62" t="str">
        <x:v>c2882280f0313382</x:v>
      </x:c>
      <x:c r="C93" s="62" t="str">
        <x:v>c2882280f0313382</x:v>
      </x:c>
      <x:c r="D93" s="62" t="str">
        <x:v>一致</x:v>
      </x:c>
      <x:c r="E93" s="62" t="str"/>
    </x:row>
    <x:row r="94">
      <x:c r="A94" s="62" t="str">
        <x:v>src/utils/fileNames.ts</x:v>
      </x:c>
      <x:c r="B94" s="62" t="str">
        <x:v>abc0be2057625e97</x:v>
      </x:c>
      <x:c r="C94" s="62" t="str">
        <x:v>abc0be2057625e97</x:v>
      </x:c>
      <x:c r="D94" s="62" t="str">
        <x:v>一致</x:v>
      </x:c>
      <x:c r="E94" s="62" t="str"/>
    </x:row>
    <x:row r="95">
      <x:c r="A95" s="62" t="str">
        <x:v>src/utils/writeJson.ts</x:v>
      </x:c>
      <x:c r="B95" s="62" t="str">
        <x:v>118c32cc2ba7aaff</x:v>
      </x:c>
      <x:c r="C95" s="62" t="str">
        <x:v>118c32cc2ba7aaff</x:v>
      </x:c>
      <x:c r="D95" s="62" t="str">
        <x:v>一致</x:v>
      </x:c>
      <x:c r="E95" s="62" t="str"/>
    </x:row>
    <x:row r="96">
      <x:c r="A96" s="62" t="str">
        <x:v>templates/invoice_application/工作簿1.xlsx</x:v>
      </x:c>
      <x:c r="B96" s="62" t="str">
        <x:v>da4f90307a5f3f1e</x:v>
      </x:c>
      <x:c r="C96" s="62" t="str">
        <x:v>da4f90307a5f3f1e</x:v>
      </x:c>
      <x:c r="D96" s="62" t="str">
        <x:v>一致</x:v>
      </x:c>
      <x:c r="E96" s="62" t="str"/>
    </x:row>
    <x:row r="97">
      <x:c r="A97" s="62" t="str">
        <x:v>templates/invoice_application/工作簿2.xlsx</x:v>
      </x:c>
      <x:c r="B97" s="62" t="str">
        <x:v>333adb460158bf7d</x:v>
      </x:c>
      <x:c r="C97" s="62" t="str">
        <x:v>333adb460158bf7d</x:v>
      </x:c>
      <x:c r="D97" s="62" t="str">
        <x:v>一致</x:v>
      </x:c>
      <x:c r="E97" s="62" t="str"/>
    </x:row>
    <x:row r="98">
      <x:c r="A98" s="62" t="str">
        <x:v>templates/invoice_application/工作簿3.xlsx</x:v>
      </x:c>
      <x:c r="B98" s="62" t="str">
        <x:v>16599adea12d1c59</x:v>
      </x:c>
      <x:c r="C98" s="62" t="str">
        <x:v>16599adea12d1c59</x:v>
      </x:c>
      <x:c r="D98" s="62" t="str">
        <x:v>一致</x:v>
      </x:c>
      <x:c r="E98" s="62" t="str"/>
    </x:row>
    <x:row r="99">
      <x:c r="A99" s="62" t="str">
        <x:v>templates/产品出库单.xlsx</x:v>
      </x:c>
      <x:c r="B99" s="62" t="str">
        <x:v>bf76cec5fa6dcc3e</x:v>
      </x:c>
      <x:c r="C99" s="62" t="str">
        <x:v>bf76cec5fa6dcc3e</x:v>
      </x:c>
      <x:c r="D99" s="62" t="str">
        <x:v>一致</x:v>
      </x:c>
      <x:c r="E99" s="62" t="str"/>
    </x:row>
    <x:row r="100">
      <x:c r="A100" s="62" t="str">
        <x:v>tsconfig.json</x:v>
      </x:c>
      <x:c r="B100" s="62" t="str">
        <x:v>4a57258330d6aa82</x:v>
      </x:c>
      <x:c r="C100" s="62" t="str">
        <x:v>4a57258330d6aa82</x:v>
      </x:c>
      <x:c r="D100" s="62" t="str">
        <x:v>一致</x:v>
      </x:c>
      <x:c r="E100" s="62" t="str"/>
    </x:row>
    <x:row r="101">
      <x:c r="A101" s="62" t="str">
        <x:v>web/index.html</x:v>
      </x:c>
      <x:c r="B101" s="62" t="str">
        <x:v>0f16518a7ea4088f</x:v>
      </x:c>
      <x:c r="C101" s="62" t="str">
        <x:v>0f16518a7ea4088f</x:v>
      </x:c>
      <x:c r="D101" s="62" t="str">
        <x:v>一致</x:v>
      </x:c>
      <x:c r="E101" s="62" t="str"/>
    </x:row>
    <x:row r="102">
      <x:c r="A102" s="62" t="str">
        <x:v>web/src/main.tsx</x:v>
      </x:c>
      <x:c r="B102" s="62" t="str">
        <x:v>dbcd787b229511ec</x:v>
      </x:c>
      <x:c r="C102" s="62" t="str">
        <x:v>dbcd787b229511ec</x:v>
      </x:c>
      <x:c r="D102" s="62" t="str">
        <x:v>一致</x:v>
      </x:c>
      <x:c r="E102" s="62" t="str"/>
    </x:row>
    <x:row r="103">
      <x:c r="A103" s="62" t="str">
        <x:v>web/src/pages/CreateExternalOrderPage.tsx</x:v>
      </x:c>
      <x:c r="B103" s="62" t="str">
        <x:v>c34702fc7374e25d</x:v>
      </x:c>
      <x:c r="C103" s="62" t="str">
        <x:v>c34702fc7374e25d</x:v>
      </x:c>
      <x:c r="D103" s="62" t="str">
        <x:v>一致</x:v>
      </x:c>
      <x:c r="E103" s="62" t="str"/>
    </x:row>
    <x:row r="104">
      <x:c r="A104" s="62" t="str">
        <x:v>web/src/semi.min.css</x:v>
      </x:c>
      <x:c r="B104" s="62" t="str">
        <x:v>0e7832e810045dc2</x:v>
      </x:c>
      <x:c r="C104" s="62" t="str">
        <x:v>0e7832e810045dc2</x:v>
      </x:c>
      <x:c r="D104" s="62" t="str">
        <x:v>一致</x:v>
      </x:c>
      <x:c r="E104" s="62" t="str"/>
    </x:row>
    <x:row r="105">
      <x:c r="A105" s="62" t="str">
        <x:v>web/src/utils/identityPolicy.ts</x:v>
      </x:c>
      <x:c r="B105" s="62" t="str">
        <x:v>b4b88758824ffaaf</x:v>
      </x:c>
      <x:c r="C105" s="62" t="str">
        <x:v>b4b88758824ffaaf</x:v>
      </x:c>
      <x:c r="D105" s="62" t="str">
        <x:v>一致</x:v>
      </x:c>
      <x:c r="E105" s="62" t="str"/>
    </x:row>
    <x:row r="106">
      <x:c r="A106" s="62" t="str">
        <x:v>web/src/utils/requestPolicy.ts</x:v>
      </x:c>
      <x:c r="B106" s="62" t="str">
        <x:v>1893fbef73fe6333</x:v>
      </x:c>
      <x:c r="C106" s="62" t="str">
        <x:v>1893fbef73fe6333</x:v>
      </x:c>
      <x:c r="D106" s="62" t="str">
        <x:v>一致</x:v>
      </x:c>
      <x:c r="E106" s="62" t="str"/>
    </x:row>
    <x:row r="107">
      <x:c r="A107" s="62" t="str">
        <x:v>web/vite.config.ts</x:v>
      </x:c>
      <x:c r="B107" s="62" t="str">
        <x:v>5a4ff182fcec9ba6</x:v>
      </x:c>
      <x:c r="C107" s="62" t="str">
        <x:v>5a4ff182fcec9ba6</x:v>
      </x:c>
      <x:c r="D107" s="62" t="str">
        <x:v>一致</x:v>
      </x:c>
      <x:c r="E107" s="62" t="str"/>
    </x:row>
  </x:sheetData>
  <x:mergeCells>
    <x:mergeCell ref="A1:E1"/>
    <x:mergeCell ref="A2:E2"/>
  </x:mergeCells>
  <x:conditionalFormatting sqref="D5:D107">
    <x:cfRule type="containsText" dxfId="0" priority="1" operator="containsText" text="未通过"/>
    <x:cfRule type="containsText" dxfId="1" priority="2" operator="containsText" text="部分通过"/>
    <x:cfRule type="containsText" dxfId="2" priority="3" operator="containsText" text="通过"/>
    <x:cfRule type="containsText" dxfId="3" priority="4" operator="containsText" text="生产缺少"/>
  </x:conditionalFormatting>
  <x:pageMargins left="0.7" right="0.7" top="0.75" bottom="0.75" header="0.3" footer="0.3"/>
  <x:tableParts count="1">
    <x:tablePart xmlns:r="http://schemas.openxmlformats.org/officeDocument/2006/relationships" r:id="R94b6d100541540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8" hidden="0" customWidth="1"/>
    <x:col min="3" max="3" width="14" hidden="0" customWidth="1"/>
    <x:col min="4" max="4" width="58" hidden="0" customWidth="1"/>
    <x:col min="5" max="5" width="20" hidden="0" customWidth="1"/>
  </x:cols>
  <x:sheetData>
    <x:row r="1" ht="32" customHeight="1">
      <x:c r="A1" s="3" t="str">
        <x:v>第一次发布 Go/No-Go 证据门</x:v>
      </x:c>
      <x:c r="B1" s="3"/>
      <x:c r="C1" s="3"/>
      <x:c r="D1" s="3"/>
      <x:c r="E1" s="3"/>
    </x:row>
    <x:row r="2" ht="26" customHeight="1">
      <x:c r="A2" s="6" t="str">
        <x:v>任何关键门未通过，结论即为 No-Go</x:v>
      </x:c>
      <x:c r="B2" s="6"/>
      <x:c r="C2" s="6"/>
      <x:c r="D2" s="6"/>
      <x:c r="E2" s="6"/>
    </x:row>
    <x:row r="4" ht="28" customHeight="1">
      <x:c r="A4" s="53" t="str">
        <x:v>#</x:v>
      </x:c>
      <x:c r="B4" s="54" t="str">
        <x:v>必须具备的证据</x:v>
      </x:c>
      <x:c r="C4" s="54" t="str">
        <x:v>状态</x:v>
      </x:c>
      <x:c r="D4" s="54" t="str">
        <x:v>现场判断</x:v>
      </x:c>
      <x:c r="E4" s="55" t="str">
        <x:v>对应证据</x:v>
      </x:c>
    </x:row>
    <x:row r="5">
      <x:c r="A5" s="61" t="n">
        <x:v>1</x:v>
      </x:c>
      <x:c r="B5" s="61" t="str">
        <x:v>旧系统 OAuth 与创建订单接口可达，且与 bridge 契约一致</x:v>
      </x:c>
      <x:c r="C5" s="61" t="str">
        <x:v>部分通过</x:v>
      </x:c>
      <x:c r="D5" s="61" t="str">
        <x:v>旧接口和静态契约成立，但 bridge 实现不存在。</x:v>
      </x:c>
      <x:c r="E5" s="61" t="str">
        <x:v>R1-04 / R1-05</x:v>
      </x:c>
    </x:row>
    <x:row r="6">
      <x:c r="A6" s="62" t="n">
        <x:v>2</x:v>
      </x:c>
      <x:c r="B6" s="62" t="str">
        <x:v>飞书重定向白名单包含 v0.1 回调</x:v>
      </x:c>
      <x:c r="C6" s="62" t="str">
        <x:v>未通过</x:v>
      </x:c>
      <x:c r="D6" s="62" t="str">
        <x:v>当前只有旧系统 3 个 approval.renheng.com 地址；新回调地址未提供、未加入。</x:v>
      </x:c>
      <x:c r="E6" s="62" t="str">
        <x:v>R1-03</x:v>
      </x:c>
    </x:row>
    <x:row r="7">
      <x:c r="A7" s="62" t="n">
        <x:v>3</x:v>
      </x:c>
      <x:c r="B7" s="62" t="str">
        <x:v>陈虹励 agent/sales 白名单已确认</x:v>
      </x:c>
      <x:c r="C7" s="62" t="str">
        <x:v>通过</x:v>
      </x:c>
      <x:c r="D7" s="62" t="str">
        <x:v>陈虹励已在 7 人 agent 白名单。</x:v>
      </x:c>
      <x:c r="E7" s="62" t="str">
        <x:v>R1-06</x:v>
      </x:c>
    </x:row>
    <x:row r="8">
      <x:c r="A8" s="62" t="n">
        <x:v>4</x:v>
      </x:c>
      <x:c r="B8" s="62" t="str">
        <x:v>V01 profile 审批人明确且 TEST_SUPERVISOR 不漏配</x:v>
      </x:c>
      <x:c r="C8" s="62" t="str">
        <x:v>未通过</x:v>
      </x:c>
      <x:c r="D8" s="62" t="str">
        <x:v>V01 profile 不存在，TEST_SUPERVISOR 与 TEST_CHAIRMAN 暂空。</x:v>
      </x:c>
      <x:c r="E8" s="62" t="str">
        <x:v>R1-07 / R1-08</x:v>
      </x:c>
    </x:row>
    <x:row r="9">
      <x:c r="A9" s="62" t="n">
        <x:v>5</x:v>
      </x:c>
      <x:c r="B9" s="62" t="str">
        <x:v>pgAPI 三个核心接口、代码口径及同步链可用</x:v>
      </x:c>
      <x:c r="C9" s="62" t="str">
        <x:v>通过</x:v>
      </x:c>
      <x:c r="D9" s="62" t="str">
        <x:v>仓库已收敛为三张核心表，静态检查通过；两条 30 分钟定时同步链最近执行均成功。</x:v>
      </x:c>
      <x:c r="E9" s="62" t="str">
        <x:v>R1-10</x:v>
      </x:c>
    </x:row>
    <x:row r="10">
      <x:c r="A10" s="62" t="n">
        <x:v>6</x:v>
      </x:c>
      <x:c r="B10" s="62" t="str">
        <x:v>企微备案域名或 PC 兜底入口可完成第一次发布流程</x:v>
      </x:c>
      <x:c r="C10" s="62" t="str">
        <x:v>未通过</x:v>
      </x:c>
      <x:c r="D10" s="62" t="str">
        <x:v>域名可达，但主页仍是旧备货/发货页面，桥接端点 404。</x:v>
      </x:c>
      <x:c r="E10" s="62" t="str">
        <x:v>R1-11 / R1-12</x:v>
      </x:c>
    </x:row>
  </x:sheetData>
  <x:mergeCells>
    <x:mergeCell ref="A1:E1"/>
    <x:mergeCell ref="A2:E2"/>
  </x:mergeCells>
  <x:conditionalFormatting sqref="C5:C10">
    <x:cfRule type="containsText" dxfId="10" priority="1" operator="containsText" text="未通过"/>
    <x:cfRule type="containsText" dxfId="11" priority="2" operator="containsText" text="部分通过"/>
    <x:cfRule type="containsText" dxfId="12" priority="3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21a34f0741f347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4" hidden="0" customWidth="1"/>
    <x:col min="5" max="5" width="26" hidden="0" customWidth="1"/>
    <x:col min="6" max="6" width="42" hidden="0" customWidth="1"/>
    <x:col min="7" max="7" width="42" hidden="0" customWidth="1"/>
  </x:cols>
  <x:sheetData>
    <x:row r="1" ht="32" customHeight="1">
      <x:c r="A1" s="3" t="str">
        <x:v>既有生产部署拓扑</x:v>
      </x:c>
      <x:c r="B1" s="3"/>
      <x:c r="C1" s="3"/>
      <x:c r="D1" s="3"/>
      <x:c r="E1" s="3"/>
      <x:c r="F1" s="3"/>
      <x:c r="G1" s="3"/>
    </x:row>
    <x:row r="2" ht="26" customHeight="1">
      <x:c r="A2" s="6" t="str">
        <x:v>仅记录域名、IP、端口、路径和版本；不记录密码、Secret、Token</x:v>
      </x:c>
      <x:c r="B2" s="6"/>
      <x:c r="C2" s="6"/>
      <x:c r="D2" s="6"/>
      <x:c r="E2" s="6"/>
      <x:c r="F2" s="6"/>
      <x:c r="G2" s="6"/>
    </x:row>
    <x:row r="4" ht="28" customHeight="1">
      <x:c r="A4" s="53" t="str">
        <x:v>系统</x:v>
      </x:c>
      <x:c r="B4" s="54" t="str">
        <x:v>地址/平台</x:v>
      </x:c>
      <x:c r="C4" s="54" t="str">
        <x:v>操作系统/类型</x:v>
      </x:c>
      <x:c r="D4" s="54" t="str">
        <x:v>部署路径/标识</x:v>
      </x:c>
      <x:c r="E4" s="54" t="str">
        <x:v>运行时/端口</x:v>
      </x:c>
      <x:c r="F4" s="54" t="str">
        <x:v>公网入口</x:v>
      </x:c>
      <x:c r="G4" s="55" t="str">
        <x:v>现场备注</x:v>
      </x:c>
    </x:row>
    <x:row r="5">
      <x:c r="A5" s="61" t="str">
        <x:v>旧飞书系统</x:v>
      </x:c>
      <x:c r="B5" s="61" t="str">
        <x:v>101.37.66.110</x:v>
      </x:c>
      <x:c r="C5" s="61" t="str">
        <x:v>Windows Server 2025 / 2 CPU / 约3.86GB</x:v>
      </x:c>
      <x:c r="D5" s="61" t="str">
        <x:v>C:\feishu-approval-poc</x:v>
      </x:c>
      <x:c r="E5" s="61" t="str">
        <x:v>Node v24.15.0 / 3000</x:v>
      </x:c>
      <x:c r="F5" s="61" t="str">
        <x:v>https://approval.renheng.com</x:v>
      </x:c>
      <x:c r="G5" s="61" t="str">
        <x:v>main@a42a115；正式部署范围 102 个文件哈希一致</x:v>
      </x:c>
    </x:row>
    <x:row r="6">
      <x:c r="A6" s="62" t="str">
        <x:v>公网网关/新系统</x:v>
      </x:c>
      <x:c r="B6" s="62" t="str">
        <x:v>121.40.226.192</x:v>
      </x:c>
      <x:c r="C6" s="62" t="str">
        <x:v>CentOS 8 / 2 CPU / 约3.55GB</x:v>
      </x:c>
      <x:c r="D6" s="62" t="str">
        <x:v>/home/admin/b2b_pilot_v2</x:v>
      </x:c>
      <x:c r="E6" s="62" t="str">
        <x:v>Gateway 80/443；BFF 8080</x:v>
      </x:c>
      <x:c r="F6" s="62" t="str">
        <x:v>https://wecom-test.renheng.com</x:v>
      </x:c>
      <x:c r="G6" s="62" t="str">
        <x:v>main@bf6a9cb7；工作区干净；无 bridge</x:v>
      </x:c>
    </x:row>
    <x:row r="7">
      <x:c r="A7" s="62" t="str">
        <x:v>pgAPI/RHCRM</x:v>
      </x:c>
      <x:c r="B7" s="62" t="str">
        <x:v>192.168.254.44</x:v>
      </x:c>
      <x:c r="C7" s="62" t="str">
        <x:v>Ubuntu 22.04.5 / 12 CPU / 约15.7GB</x:v>
      </x:c>
      <x:c r="D7" s="62" t="str">
        <x:v>/opt/pgAPI</x:v>
      </x:c>
      <x:c r="E7" s="62" t="str">
        <x:v>生产 8000；测试 8002</x:v>
      </x:c>
      <x:c r="F7" s="62" t="str">
        <x:v>https://api.renheng.com/pgapi</x:v>
      </x:c>
      <x:c r="G7" s="62" t="str">
        <x:v>PostgreSQL 与 pgAPI 同机；三表口径与同步链已对齐</x:v>
      </x:c>
    </x:row>
    <x:row r="8">
      <x:c r="A8" s="62" t="str">
        <x:v>飞书应用</x:v>
      </x:c>
      <x:c r="B8" s="62" t="str">
        <x:v>开放平台</x:v>
      </x:c>
      <x:c r="C8" s="62" t="str">
        <x:v>企业自建应用</x:v>
      </x:c>
      <x:c r="D8" s="62" t="str">
        <x:v>cli_a971...dcca</x:v>
      </x:c>
      <x:c r="E8" s="62" t="str">
        <x:v>版本 1.0.15</x:v>
      </x:c>
      <x:c r="F8" s="62" t="str">
        <x:v>旧系统 3 个重定向地址</x:v>
      </x:c>
      <x:c r="G8" s="62" t="str">
        <x:v>启用；PC/移动 web_app</x:v>
      </x:c>
    </x:row>
    <x:row r="9">
      <x:c r="A9" s="62" t="str">
        <x:v>企微应用</x:v>
      </x:c>
      <x:c r="B9" s="62" t="str">
        <x:v>企业微信</x:v>
      </x:c>
      <x:c r="C9" s="62" t="str">
        <x:v>自建应用</x:v>
      </x:c>
      <x:c r="D9" s="62" t="str">
        <x:v>AgentId 1000007</x:v>
      </x:c>
      <x:c r="E9" s="62" t="str">
        <x:v>可见用户 5</x:v>
      </x:c>
      <x:c r="F9" s="62" t="str">
        <x:v>https://wecom-test.renheng.com/miniapp/</x:v>
      </x:c>
      <x:c r="G9" s="62" t="str">
        <x:v>启用；redirect_domain 正确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9431f2c29c143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72" hidden="0" customWidth="1"/>
    <x:col min="4" max="4" width="14" hidden="0" customWidth="1"/>
    <x:col min="5" max="5" width="12" hidden="0" customWidth="1"/>
    <x:col min="6" max="6" width="18" hidden="0" customWidth="1"/>
    <x:col min="7" max="7" width="22" hidden="0" customWidth="1"/>
  </x:cols>
  <x:sheetData>
    <x:row r="1" ht="32" customHeight="1">
      <x:c r="A1" s="3" t="str">
        <x:v>生产环境基础五元组</x:v>
      </x:c>
      <x:c r="B1" s="3"/>
      <x:c r="C1" s="3"/>
      <x:c r="D1" s="3"/>
      <x:c r="E1" s="3"/>
      <x:c r="F1" s="3"/>
      <x:c r="G1" s="3"/>
    </x:row>
    <x:row r="2" ht="26" customHeight="1">
      <x:c r="A2" s="6" t="str">
        <x:v>覆盖旧系统、新系统与 pgAPI：主机、进程/服务、网络、存储、版本</x:v>
      </x:c>
      <x:c r="B2" s="6"/>
      <x:c r="C2" s="6"/>
      <x:c r="D2" s="6"/>
      <x:c r="E2" s="6"/>
      <x:c r="F2" s="6"/>
      <x:c r="G2" s="6"/>
    </x:row>
    <x:row r="4" ht="28" customHeight="1">
      <x:c r="A4" s="53" t="str">
        <x:v>系统</x:v>
      </x:c>
      <x:c r="B4" s="54" t="str">
        <x:v>维度</x:v>
      </x:c>
      <x:c r="C4" s="54" t="str">
        <x:v>现场值</x:v>
      </x:c>
      <x:c r="D4" s="54" t="str">
        <x:v>状态</x:v>
      </x:c>
      <x:c r="E4" s="54" t="str">
        <x:v>证据等级</x:v>
      </x:c>
      <x:c r="F4" s="54" t="str">
        <x:v>对应证据</x:v>
      </x:c>
      <x:c r="G4" s="55" t="str">
        <x:v>采集时间</x:v>
      </x:c>
    </x:row>
    <x:row r="5">
      <x:c r="A5" s="61" t="str">
        <x:v>旧系统</x:v>
      </x:c>
      <x:c r="B5" s="61" t="str">
        <x:v>主机</x:v>
      </x:c>
      <x:c r="C5" s="61" t="str">
        <x:v>Windows Server 2025 Datacenter 10.0.26100；阿里云 ECS；2 逻辑 CPU；内存约 3.86GB；C 盘约 39.9GB/剩余约 4.62GiB</x:v>
      </x:c>
      <x:c r="D5" s="61" t="str">
        <x:v>已采集</x:v>
      </x:c>
      <x:c r="E5" s="61" t="str">
        <x:v>L1</x:v>
      </x:c>
      <x:c r="F5" s="61" t="str">
        <x:v>R1-01</x:v>
      </x:c>
      <x:c r="G5" s="61" t="str">
        <x:v>2026-08-19 18:26 +08:00</x:v>
      </x:c>
    </x:row>
    <x:row r="6">
      <x:c r="A6" s="62" t="str">
        <x:v>旧系统</x:v>
      </x:c>
      <x:c r="B6" s="62" t="str">
        <x:v>进程/服务</x:v>
      </x:c>
      <x:c r="C6" s="62" t="str">
        <x:v>Node v24.15.0；3000 端口；FeishuApprovalPocWatchdog 运行；管理员 PowerShell/计划任务启动；npm run dev / tsx src/server.ts</x:v>
      </x:c>
      <x:c r="D6" s="62" t="str">
        <x:v>已采集</x:v>
      </x:c>
      <x:c r="E6" s="62" t="str">
        <x:v>L1</x:v>
      </x:c>
      <x:c r="F6" s="62" t="str">
        <x:v>R1-01</x:v>
      </x:c>
      <x:c r="G6" s="62" t="str">
        <x:v>2026-08-19 17:58 +08:00</x:v>
      </x:c>
    </x:row>
    <x:row r="7">
      <x:c r="A7" s="62" t="str">
        <x:v>旧系统</x:v>
      </x:c>
      <x:c r="B7" s="62" t="str">
        <x:v>网络</x:v>
      </x:c>
      <x:c r="C7" s="62" t="str">
        <x:v>监听 3000；公网入口 https://approval.renheng.com；HTTPS 证书至 2026-10-16</x:v>
      </x:c>
      <x:c r="D7" s="62" t="str">
        <x:v>已采集</x:v>
      </x:c>
      <x:c r="E7" s="62" t="str">
        <x:v>L1</x:v>
      </x:c>
      <x:c r="F7" s="62" t="str">
        <x:v>R1-01/R1-03</x:v>
      </x:c>
      <x:c r="G7" s="62" t="str">
        <x:v>2026-08-19 17:58 +08:00</x:v>
      </x:c>
    </x:row>
    <x:row r="8">
      <x:c r="A8" s="62" t="str">
        <x:v>旧系统</x:v>
      </x:c>
      <x:c r="B8" s="62" t="str">
        <x:v>存储</x:v>
      </x:c>
      <x:c r="C8" s="62" t="str">
        <x:v>C:\feishu-approval-poc\data；24 个顶层 JSONL；7 个指定业务附件目录；磁盘余量约 4.62GiB</x:v>
      </x:c>
      <x:c r="D8" s="62" t="str">
        <x:v>已采集</x:v>
      </x:c>
      <x:c r="E8" s="62" t="str">
        <x:v>L1</x:v>
      </x:c>
      <x:c r="F8" s="62" t="str">
        <x:v>R1-01/R1-13</x:v>
      </x:c>
      <x:c r="G8" s="62" t="str">
        <x:v>2026-08-19 18:26 +08:00</x:v>
      </x:c>
    </x:row>
    <x:row r="9">
      <x:c r="A9" s="62" t="str">
        <x:v>旧系统</x:v>
      </x:c>
      <x:c r="B9" s="62" t="str">
        <x:v>版本</x:v>
      </x:c>
      <x:c r="C9" s="62" t="str">
        <x:v>GitLab main@a42a115；正式部署范围 102 个文件逐项 SHA-256 一致；历史备份源码 server.before-wecombridge.ts 不纳入部署清单</x:v>
      </x:c>
      <x:c r="D9" s="62" t="str">
        <x:v>已采集</x:v>
      </x:c>
      <x:c r="E9" s="62" t="str">
        <x:v>L1</x:v>
      </x:c>
      <x:c r="F9" s="62" t="str">
        <x:v>R1-02</x:v>
      </x:c>
      <x:c r="G9" s="62" t="str">
        <x:v>2026-08-19 20:08 +08:00</x:v>
      </x:c>
    </x:row>
    <x:row r="10">
      <x:c r="A10" s="62" t="str">
        <x:v>新系统</x:v>
      </x:c>
      <x:c r="B10" s="62" t="str">
        <x:v>主机</x:v>
      </x:c>
      <x:c r="C10" s="62" t="str">
        <x:v>CentOS Linux 8；2 CPU；内存约 3.55GB；根盘 40GB/剩余约 21GB</x:v>
      </x:c>
      <x:c r="D10" s="62" t="str">
        <x:v>已采集</x:v>
      </x:c>
      <x:c r="E10" s="62" t="str">
        <x:v>L1</x:v>
      </x:c>
      <x:c r="F10" s="62" t="str">
        <x:v>R1-11</x:v>
      </x:c>
      <x:c r="G10" s="62" t="str">
        <x:v>2026-08-19 17:58 +08:00</x:v>
      </x:c>
    </x:row>
    <x:row r="11">
      <x:c r="A11" s="62" t="str">
        <x:v>新系统</x:v>
      </x:c>
      <x:c r="B11" s="62" t="str">
        <x:v>进程/服务</x:v>
      </x:c>
      <x:c r="C11" s="62" t="str">
        <x:v>Podman 3.3.1；PostgreSQL 16、Temporal 1.29.7、SpiceDB、MinIO、BFF 8080；容器 restart=unless-stopped</x:v>
      </x:c>
      <x:c r="D11" s="62" t="str">
        <x:v>已采集</x:v>
      </x:c>
      <x:c r="E11" s="62" t="str">
        <x:v>L1</x:v>
      </x:c>
      <x:c r="F11" s="62" t="str">
        <x:v>R1-11</x:v>
      </x:c>
      <x:c r="G11" s="62" t="str">
        <x:v>2026-08-19 17:58 +08:00</x:v>
      </x:c>
    </x:row>
    <x:row r="12">
      <x:c r="A12" s="62" t="str">
        <x:v>新系统</x:v>
      </x:c>
      <x:c r="B12" s="62" t="str">
        <x:v>网络</x:v>
      </x:c>
      <x:c r="C12" s="62" t="str">
        <x:v>公网网关 80/443，systemd Restart=always；域名 wecom-test.renheng.com；证书至 2026-10-15</x:v>
      </x:c>
      <x:c r="D12" s="62" t="str">
        <x:v>已采集</x:v>
      </x:c>
      <x:c r="E12" s="62" t="str">
        <x:v>L1</x:v>
      </x:c>
      <x:c r="F12" s="62" t="str">
        <x:v>R1-11/R1-12</x:v>
      </x:c>
      <x:c r="G12" s="62" t="str">
        <x:v>2026-08-19 17:58 +08:00</x:v>
      </x:c>
    </x:row>
    <x:row r="13">
      <x:c r="A13" s="62" t="str">
        <x:v>新系统</x:v>
      </x:c>
      <x:c r="B13" s="62" t="str">
        <x:v>存储</x:v>
      </x:c>
      <x:c r="C13" s="62" t="str">
        <x:v>PG 卷 /home/admin/.local/share/containers/storage/volumes/b2b_pilot_v2_pgdata/_data；MinIO 容器运行</x:v>
      </x:c>
      <x:c r="D13" s="62" t="str">
        <x:v>已采集</x:v>
      </x:c>
      <x:c r="E13" s="62" t="str">
        <x:v>L1</x:v>
      </x:c>
      <x:c r="F13" s="62" t="str">
        <x:v>R1-11</x:v>
      </x:c>
      <x:c r="G13" s="62" t="str">
        <x:v>2026-08-19 17:58 +08:00</x:v>
      </x:c>
    </x:row>
    <x:row r="14">
      <x:c r="A14" s="62" t="str">
        <x:v>新系统</x:v>
      </x:c>
      <x:c r="B14" s="62" t="str">
        <x:v>版本</x:v>
      </x:c>
      <x:c r="C14" s="62" t="str">
        <x:v>/home/admin/b2b_pilot_v2；main@bf6a9cb7d8b2dec6d6187de810a435826fca6514；工作区干净</x:v>
      </x:c>
      <x:c r="D14" s="62" t="str">
        <x:v>已采集</x:v>
      </x:c>
      <x:c r="E14" s="62" t="str">
        <x:v>L1</x:v>
      </x:c>
      <x:c r="F14" s="62" t="str">
        <x:v>R1-11</x:v>
      </x:c>
      <x:c r="G14" s="62" t="str">
        <x:v>2026-08-19 17:58 +08:00</x:v>
      </x:c>
    </x:row>
    <x:row r="15">
      <x:c r="A15" s="62" t="str">
        <x:v>pgAPI</x:v>
      </x:c>
      <x:c r="B15" s="62" t="str">
        <x:v>主机</x:v>
      </x:c>
      <x:c r="C15" s="62" t="str">
        <x:v>Ubuntu 22.04.5；与 RHCRM PostgreSQL 同机；12 CPU；内存约 15.7GB；根盘约 234GB/剩余约 203GB</x:v>
      </x:c>
      <x:c r="D15" s="62" t="str">
        <x:v>已采集</x:v>
      </x:c>
      <x:c r="E15" s="62" t="str">
        <x:v>L1</x:v>
      </x:c>
      <x:c r="F15" s="62" t="str">
        <x:v>R1-10</x:v>
      </x:c>
      <x:c r="G15" s="62" t="str">
        <x:v>2026-08-19 17:58 +08:00</x:v>
      </x:c>
    </x:row>
    <x:row r="16">
      <x:c r="A16" s="62" t="str">
        <x:v>pgAPI</x:v>
      </x:c>
      <x:c r="B16" s="62" t="str">
        <x:v>进程/服务</x:v>
      </x:c>
      <x:c r="C16" s="62" t="str">
        <x:v>Python 3.10.12；pgapi.service 生产 8000；pgapi-test.service 8002；systemd Restart=always</x:v>
      </x:c>
      <x:c r="D16" s="62" t="str">
        <x:v>已采集</x:v>
      </x:c>
      <x:c r="E16" s="62" t="str">
        <x:v>L1</x:v>
      </x:c>
      <x:c r="F16" s="62" t="str">
        <x:v>R1-10</x:v>
      </x:c>
      <x:c r="G16" s="62" t="str">
        <x:v>2026-08-19 17:58 +08:00</x:v>
      </x:c>
    </x:row>
    <x:row r="17">
      <x:c r="A17" s="62" t="str">
        <x:v>pgAPI</x:v>
      </x:c>
      <x:c r="B17" s="62" t="str">
        <x:v>网络</x:v>
      </x:c>
      <x:c r="C17" s="62" t="str">
        <x:v>生产 8000、测试 8002；公网经 api.renheng.com:443 网关转发；无 API Key 返回 401；证书至 2026-11-13</x:v>
      </x:c>
      <x:c r="D17" s="62" t="str">
        <x:v>已采集</x:v>
      </x:c>
      <x:c r="E17" s="62" t="str">
        <x:v>L1</x:v>
      </x:c>
      <x:c r="F17" s="62" t="str">
        <x:v>R1-10</x:v>
      </x:c>
      <x:c r="G17" s="62" t="str">
        <x:v>2026-08-19 17:58 +08:00</x:v>
      </x:c>
    </x:row>
    <x:row r="18">
      <x:c r="A18" s="62" t="str">
        <x:v>pgAPI</x:v>
      </x:c>
      <x:c r="B18" s="62" t="str">
        <x:v>存储</x:v>
      </x:c>
      <x:c r="C18" s="62" t="str">
        <x:v>PostgreSQL 数据库 carh；rhcrm 三张核心表：客户、产品、购销合同</x:v>
      </x:c>
      <x:c r="D18" s="62" t="str">
        <x:v>已采集</x:v>
      </x:c>
      <x:c r="E18" s="62" t="str">
        <x:v>L1</x:v>
      </x:c>
      <x:c r="F18" s="62" t="str">
        <x:v>R1-10</x:v>
      </x:c>
      <x:c r="G18" s="62" t="str">
        <x:v>2026-08-19 18:20 +08:00</x:v>
      </x:c>
    </x:row>
    <x:row r="19">
      <x:c r="A19" s="62" t="str">
        <x:v>pgAPI</x:v>
      </x:c>
      <x:c r="B19" s="62" t="str">
        <x:v>版本</x:v>
      </x:c>
      <x:c r="C19" s="62" t="str">
        <x:v>生产 /opt/pgAPI；现场 Git master@e94de1c9…；对应 rhcrm-server main@b387f24f；同步服务与 webhook 存在</x:v>
      </x:c>
      <x:c r="D19" s="62" t="str">
        <x:v>已采集</x:v>
      </x:c>
      <x:c r="E19" s="62" t="str">
        <x:v>L1</x:v>
      </x:c>
      <x:c r="F19" s="62" t="str">
        <x:v>R1-10</x:v>
      </x:c>
      <x:c r="G19" s="62" t="str">
        <x:v>2026-08-19 17:58 +08:00</x:v>
      </x:c>
    </x:row>
  </x:sheetData>
  <x:mergeCells>
    <x:mergeCell ref="A1:G1"/>
    <x:mergeCell ref="A2:G2"/>
  </x:mergeCells>
  <x:conditionalFormatting sqref="D5:D19">
    <x:cfRule type="containsText" dxfId="7" priority="1" operator="containsText" text="未通过"/>
    <x:cfRule type="containsText" dxfId="8" priority="2" operator="containsText" text="部分通过"/>
    <x:cfRule type="containsText" dxfId="9" priority="3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24df5dbe1b8e42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2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24" hidden="0" customWidth="1"/>
    <x:col min="10" max="10" width="55" hidden="0" customWidth="1"/>
  </x:cols>
  <x:sheetData>
    <x:row r="1" ht="32" customHeight="1">
      <x:c r="A1" s="3" t="str">
        <x:v>第一次发布前生产数据基线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严格覆盖调研需求 §6.2；同一指标后续发布前后必须使用相同统计口径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53" t="str">
        <x:v>指标</x:v>
      </x:c>
      <x:c r="B4" s="54" t="str">
        <x:v>采集对象</x:v>
      </x:c>
      <x:c r="C4" s="54" t="str">
        <x:v>统计口径/只读动作</x:v>
      </x:c>
      <x:c r="D4" s="54" t="str">
        <x:v>结果</x:v>
      </x:c>
      <x:c r="E4" s="54" t="str">
        <x:v>单位</x:v>
      </x:c>
      <x:c r="F4" s="54" t="str">
        <x:v>对照结果</x:v>
      </x:c>
      <x:c r="G4" s="54" t="str">
        <x:v>对照单位</x:v>
      </x:c>
      <x:c r="H4" s="54" t="str">
        <x:v>采集时间</x:v>
      </x:c>
      <x:c r="I4" s="54" t="str">
        <x:v>数据截止时间</x:v>
      </x:c>
      <x:c r="J4" s="55" t="str">
        <x:v>口径说明</x:v>
      </x:c>
    </x:row>
    <x:row r="5">
      <x:c r="A5" s="61" t="str">
        <x:v>JSONL 行数</x:v>
      </x:c>
      <x:c r="B5" s="61" t="str">
        <x:v>8 个核心 JSONL</x:v>
      </x:c>
      <x:c r="C5" s="61" t="str">
        <x:v>对明确文件逐一统计物理行并汇总</x:v>
      </x:c>
      <x:c r="D5" s="61" t="n">
        <x:v>65724</x:v>
      </x:c>
      <x:c r="E5" s="61" t="str">
        <x:v>物理行</x:v>
      </x:c>
      <x:c r="F5" s="61" t="n">
        <x:v>8</x:v>
      </x:c>
      <x:c r="G5" s="61" t="str">
        <x:v>文件</x:v>
      </x:c>
      <x:c r="H5" s="61" t="str">
        <x:v>2026-08-19 16:44 +08:00</x:v>
      </x:c>
      <x:c r="I5" s="61" t="str">
        <x:v>2026-08-19 16:26:05 +08:00</x:v>
      </x:c>
      <x:c r="J5" s="61" t="str">
        <x:v>逐文件明细见 JSONL底账</x:v>
      </x:c>
    </x:row>
    <x:row r="6">
      <x:c r="A6" s="62" t="str">
        <x:v>JSONL 文件大小</x:v>
      </x:c>
      <x:c r="B6" s="62" t="str">
        <x:v>24 个顶层 JSONL</x:v>
      </x:c>
      <x:c r="C6" s="62" t="str">
        <x:v>定点读取文件元数据并汇总字节，不扫描其他目录</x:v>
      </x:c>
      <x:c r="D6" s="62" t="n">
        <x:v>194556822</x:v>
      </x:c>
      <x:c r="E6" s="62" t="str">
        <x:v>字节</x:v>
      </x:c>
      <x:c r="F6" s="62" t="n">
        <x:v>24</x:v>
      </x:c>
      <x:c r="G6" s="62" t="str">
        <x:v>文件</x:v>
      </x:c>
      <x:c r="H6" s="62" t="str">
        <x:v>2026-08-19 16:44 +08:00</x:v>
      </x:c>
      <x:c r="I6" s="62" t="str">
        <x:v>2026-08-19 16:26:05 +08:00</x:v>
      </x:c>
      <x:c r="J6" s="62" t="str">
        <x:v>约 185.5 MiB；原指南写 16 文件，现场实际 24 文件</x:v>
      </x:c>
    </x:row>
    <x:row r="7">
      <x:c r="A7" s="62" t="str">
        <x:v>JSONL 时间范围</x:v>
      </x:c>
      <x:c r="B7" s="62" t="str">
        <x:v>24 个顶层 JSONL</x:v>
      </x:c>
      <x:c r="C7" s="62" t="str">
        <x:v>流式解析可识别时间字段，汇总最早和最晚时间</x:v>
      </x:c>
      <x:c r="D7" s="62" t="str">
        <x:v>2026-05-26T02:42:05.412Z ～ 2026-08-19T08:26:05.926Z</x:v>
      </x:c>
      <x:c r="E7" s="62" t="str">
        <x:v>时间范围</x:v>
      </x:c>
      <x:c r="F7" s="62"/>
      <x:c r="G7" s="62" t="str"/>
      <x:c r="H7" s="62" t="str">
        <x:v>2026-08-19 16:44 +08:00</x:v>
      </x:c>
      <x:c r="I7" s="62" t="str">
        <x:v>2026-08-19 16:26:05 +08:00</x:v>
      </x:c>
      <x:c r="J7" s="62" t="str">
        <x:v>无时间字段的文件保留为空，不推断</x:v>
      </x:c>
    </x:row>
    <x:row r="8">
      <x:c r="A8" s="62" t="str">
        <x:v>附件数/总大小</x:v>
      </x:c>
      <x:c r="B8" s="62" t="str">
        <x:v>7 个指定业务附件目录</x:v>
      </x:c>
      <x:c r="C8" s="62" t="str">
        <x:v>对明确目录递归做文件计数和字节汇总，不读取文件内容</x:v>
      </x:c>
      <x:c r="D8" s="62" t="n">
        <x:v>5040</x:v>
      </x:c>
      <x:c r="E8" s="62" t="str">
        <x:v>文件</x:v>
      </x:c>
      <x:c r="F8" s="62" t="n">
        <x:v>3148014059</x:v>
      </x:c>
      <x:c r="G8" s="62" t="str">
        <x:v>字节</x:v>
      </x:c>
      <x:c r="H8" s="62" t="str">
        <x:v>2026-08-19 18:26 +08:00</x:v>
      </x:c>
      <x:c r="I8" s="62" t="str">
        <x:v>2026-08-19 17:24:18 +08:00</x:v>
      </x:c>
      <x:c r="J8" s="62" t="str">
        <x:v>合计约 2.93 GiB；目录明细见附件目录基线</x:v>
      </x:c>
    </x:row>
    <x:row r="9">
      <x:c r="A9" s="62" t="str">
        <x:v>附件缺失数</x:v>
      </x:c>
      <x:c r="B9" s="62" t="str">
        <x:v>JSONL 中业务附件引用路径</x:v>
      </x:c>
      <x:c r="C9" s="62" t="str">
        <x:v>对 JSONL 明确引用逐一 stat，比对文件是否存在</x:v>
      </x:c>
      <x:c r="D9" s="62" t="n">
        <x:v>1154</x:v>
      </x:c>
      <x:c r="E9" s="62" t="str">
        <x:v>缺失引用</x:v>
      </x:c>
      <x:c r="F9" s="62" t="n">
        <x:v>6902</x:v>
      </x:c>
      <x:c r="G9" s="62" t="str">
        <x:v>唯一业务引用</x:v>
      </x:c>
      <x:c r="H9" s="62" t="str">
        <x:v>2026-08-19 16:44 +08:00</x:v>
      </x:c>
      <x:c r="I9" s="62" t="str">
        <x:v>2026-08-19 16:26:05 +08:00</x:v>
      </x:c>
      <x:c r="J9" s="62" t="str">
        <x:v>业务附件缺失 1154；系统证据文件缺失 23242 单列，不混入业务附件口径</x:v>
      </x:c>
    </x:row>
    <x:row r="10">
      <x:c r="A10" s="62" t="str">
        <x:v>多维表行数</x:v>
      </x:c>
      <x:c r="B10" s="62" t="str">
        <x:v>三方审批流程表</x:v>
      </x:c>
      <x:c r="C10" s="62" t="str">
        <x:v>飞书多维表接口分页计数；不导出行级业务数据</x:v>
      </x:c>
      <x:c r="D10" s="62" t="n">
        <x:v>1370</x:v>
      </x:c>
      <x:c r="E10" s="62" t="str">
        <x:v>记录</x:v>
      </x:c>
      <x:c r="F10" s="62" t="n">
        <x:v>1321</x:v>
      </x:c>
      <x:c r="G10" s="62" t="str">
        <x:v>去重订单</x:v>
      </x:c>
      <x:c r="H10" s="62" t="str">
        <x:v>2026-08-19 17:09 +08:00</x:v>
      </x:c>
      <x:c r="I10" s="62" t="str">
        <x:v>2026-08-19 17:09 +08:00</x:v>
      </x:c>
      <x:c r="J10" s="62" t="str">
        <x:v>源内重复 49；无申请编号跳过 0</x:v>
      </x:c>
    </x:row>
    <x:row r="11">
      <x:c r="A11" s="62" t="str">
        <x:v>多维表行数</x:v>
      </x:c>
      <x:c r="B11" s="62" t="str">
        <x:v>客户档案</x:v>
      </x:c>
      <x:c r="C11" s="62" t="str">
        <x:v>飞书多维表接口分页计数</x:v>
      </x:c>
      <x:c r="D11" s="62" t="n">
        <x:v>3150</x:v>
      </x:c>
      <x:c r="E11" s="62" t="str">
        <x:v>记录</x:v>
      </x:c>
      <x:c r="F11" s="62"/>
      <x:c r="G11" s="62" t="str"/>
      <x:c r="H11" s="62" t="str">
        <x:v>2026-08-19 17:58 +08:00</x:v>
      </x:c>
      <x:c r="I11" s="62" t="str">
        <x:v>2026-08-19 17:58 +08:00</x:v>
      </x:c>
      <x:c r="J11" s="62" t="str">
        <x:v>与 pgAPI 未删除业务数一致</x:v>
      </x:c>
    </x:row>
    <x:row r="12">
      <x:c r="A12" s="62" t="str">
        <x:v>多维表行数</x:v>
      </x:c>
      <x:c r="B12" s="62" t="str">
        <x:v>产品表</x:v>
      </x:c>
      <x:c r="C12" s="62" t="str">
        <x:v>飞书多维表接口分页计数</x:v>
      </x:c>
      <x:c r="D12" s="62" t="n">
        <x:v>293</x:v>
      </x:c>
      <x:c r="E12" s="62" t="str">
        <x:v>记录</x:v>
      </x:c>
      <x:c r="F12" s="62"/>
      <x:c r="G12" s="62" t="str"/>
      <x:c r="H12" s="62" t="str">
        <x:v>2026-08-19 17:58 +08:00</x:v>
      </x:c>
      <x:c r="I12" s="62" t="str">
        <x:v>2026-08-19 17:58 +08:00</x:v>
      </x:c>
      <x:c r="J12" s="62" t="str">
        <x:v>与 pgAPI 未删除业务数一致</x:v>
      </x:c>
    </x:row>
    <x:row r="13">
      <x:c r="A13" s="62" t="str">
        <x:v>pgAPI 三表行数</x:v>
      </x:c>
      <x:c r="B13" s="62" t="str">
        <x:v>GET /api/db/customers</x:v>
      </x:c>
      <x:c r="C13" s="62" t="str">
        <x:v>SQL 聚合核对物理数/未删除数；API 仅取 total</x:v>
      </x:c>
      <x:c r="D13" s="62" t="n">
        <x:v>3231</x:v>
      </x:c>
      <x:c r="E13" s="62" t="str">
        <x:v>物理行</x:v>
      </x:c>
      <x:c r="F13" s="62" t="n">
        <x:v>3150</x:v>
      </x:c>
      <x:c r="G13" s="62" t="str">
        <x:v>未删除/API 业务数</x:v>
      </x:c>
      <x:c r="H13" s="62" t="str">
        <x:v>2026-08-19 18:20 +08:00</x:v>
      </x:c>
      <x:c r="I13" s="62" t="str">
        <x:v>2026-08-19 18:17:32 +08:00</x:v>
      </x:c>
      <x:c r="J13" s="62" t="str">
        <x:v>rhcrm.t_tblhxitvmy9vld9q</x:v>
      </x:c>
    </x:row>
    <x:row r="14">
      <x:c r="A14" s="62" t="str">
        <x:v>pgAPI 三表行数</x:v>
      </x:c>
      <x:c r="B14" s="62" t="str">
        <x:v>GET /api/db/products</x:v>
      </x:c>
      <x:c r="C14" s="62" t="str">
        <x:v>SQL 聚合核对物理数/未删除数；API 仅取 total</x:v>
      </x:c>
      <x:c r="D14" s="62" t="n">
        <x:v>306</x:v>
      </x:c>
      <x:c r="E14" s="62" t="str">
        <x:v>物理行</x:v>
      </x:c>
      <x:c r="F14" s="62" t="n">
        <x:v>293</x:v>
      </x:c>
      <x:c r="G14" s="62" t="str">
        <x:v>未删除/API 业务数</x:v>
      </x:c>
      <x:c r="H14" s="62" t="str">
        <x:v>2026-08-19 18:20 +08:00</x:v>
      </x:c>
      <x:c r="I14" s="62" t="str">
        <x:v>2026-08-19 18:17:39 +08:00</x:v>
      </x:c>
      <x:c r="J14" s="62" t="str">
        <x:v>rhcrm.t_tblabefl7svfsgyp</x:v>
      </x:c>
    </x:row>
    <x:row r="15">
      <x:c r="A15" s="62" t="str">
        <x:v>pgAPI 三表行数</x:v>
      </x:c>
      <x:c r="B15" s="62" t="str">
        <x:v>GET /api/db/purchase-contracts</x:v>
      </x:c>
      <x:c r="C15" s="62" t="str">
        <x:v>SQL 聚合核对物理数、未删除数和默认业务过滤数</x:v>
      </x:c>
      <x:c r="D15" s="62" t="n">
        <x:v>8807</x:v>
      </x:c>
      <x:c r="E15" s="62" t="str">
        <x:v>物理行</x:v>
      </x:c>
      <x:c r="F15" s="62" t="n">
        <x:v>7485</x:v>
      </x:c>
      <x:c r="G15" s="62" t="str">
        <x:v>API 业务数</x:v>
      </x:c>
      <x:c r="H15" s="62" t="str">
        <x:v>2026-08-19 18:20 +08:00</x:v>
      </x:c>
      <x:c r="I15" s="62" t="str">
        <x:v>2026-08-19 17:39:02 +08:00</x:v>
      </x:c>
      <x:c r="J15" s="62" t="str">
        <x:v>未删除 8309；API 再排除已撤回/已拒绝。原文五表已按修正后的三表架构更新</x:v>
      </x:c>
    </x:row>
    <x:row r="16">
      <x:c r="A16" s="62" t="str">
        <x:v>RHCRM 购销合同表行数</x:v>
      </x:c>
      <x:c r="B16" s="62" t="str">
        <x:v>rhcrm.t_tbl1neg3iymvqdvi</x:v>
      </x:c>
      <x:c r="C16" s="62" t="str">
        <x:v>SQL COUNT(*) 聚合，不导出业务明细</x:v>
      </x:c>
      <x:c r="D16" s="62" t="n">
        <x:v>8807</x:v>
      </x:c>
      <x:c r="E16" s="62" t="str">
        <x:v>物理行</x:v>
      </x:c>
      <x:c r="F16" s="62" t="n">
        <x:v>8309</x:v>
      </x:c>
      <x:c r="G16" s="62" t="str">
        <x:v>逻辑未删除</x:v>
      </x:c>
      <x:c r="H16" s="62" t="str">
        <x:v>2026-08-19 18:20 +08:00</x:v>
      </x:c>
      <x:c r="I16" s="62" t="str">
        <x:v>2026-08-19 17:39:02 +08:00</x:v>
      </x:c>
      <x:c r="J16" s="62" t="str">
        <x:v>默认业务有效数 7485</x:v>
      </x:c>
    </x:row>
    <x:row r="17">
      <x:c r="A17" s="62" t="str">
        <x:v>滞留待办数</x:v>
      </x:c>
      <x:c r="B17" s="62" t="str">
        <x:v>orders/stock_prepares/shipments/invoices</x:v>
      </x:c>
      <x:c r="C17" s="62" t="str">
        <x:v>每个业务 ID 取最新记录后汇总非终态 PENDING</x:v>
      </x:c>
      <x:c r="D17" s="62" t="n">
        <x:v>394</x:v>
      </x:c>
      <x:c r="E17" s="62" t="str">
        <x:v>待办</x:v>
      </x:c>
      <x:c r="F17" s="62" t="n">
        <x:v>4</x:v>
      </x:c>
      <x:c r="G17" s="62" t="str">
        <x:v>业务阶段</x:v>
      </x:c>
      <x:c r="H17" s="62" t="str">
        <x:v>2026-08-19 16:44 +08:00</x:v>
      </x:c>
      <x:c r="I17" s="62" t="str">
        <x:v>2026-08-19 16:26:05 +08:00</x:v>
      </x:c>
      <x:c r="J17" s="62" t="str">
        <x:v>订单 9、备货 8、发货 334、开票 43</x:v>
      </x:c>
    </x:row>
    <x:row r="18">
      <x:c r="A18" s="62" t="str">
        <x:v>新系统 PG 表计数</x:v>
      </x:c>
      <x:c r="B18" s="62" t="str">
        <x:v>pilot_business</x:v>
      </x:c>
      <x:c r="C18" s="62" t="str">
        <x:v>information_schema 统计业务关系；核对仓库迁移文件数量</x:v>
      </x:c>
      <x:c r="D18" s="62" t="n">
        <x:v>0</x:v>
      </x:c>
      <x:c r="E18" s="62" t="str">
        <x:v>业务表</x:v>
      </x:c>
      <x:c r="F18" s="62" t="n">
        <x:v>2</x:v>
      </x:c>
      <x:c r="G18" s="62" t="str">
        <x:v>迁移文件</x:v>
      </x:c>
      <x:c r="H18" s="62" t="str">
        <x:v>2026-08-19 17:58 +08:00</x:v>
      </x:c>
      <x:c r="I18" s="62" t="str">
        <x:v>2026-08-19 17:58 +08:00</x:v>
      </x:c>
      <x:c r="J18" s="62" t="str">
        <x:v>数据库存在但无业务关系；仓库仅 001-002</x:v>
      </x:c>
    </x:row>
    <x:row r="19">
      <x:c r="A19" s="62" t="str">
        <x:v>pgAPI 同步时延</x:v>
      </x:c>
      <x:c r="B19" s="62" t="str">
        <x:v>多维表最近更新 → pgAPI 首次可见</x:v>
      </x:c>
      <x:c r="C19" s="62" t="str">
        <x:v>需用一条受控记录分别记录源更新时间和首次可见时间</x:v>
      </x:c>
      <x:c r="D19" s="62" t="str">
        <x:v>未取证</x:v>
      </x:c>
      <x:c r="E19" s="62" t="str">
        <x:v>分钟</x:v>
      </x:c>
      <x:c r="F19" s="62" t="n">
        <x:v>30</x:v>
      </x:c>
      <x:c r="G19" s="62" t="str">
        <x:v>分钟最大调度等待</x:v>
      </x:c>
      <x:c r="H19" s="62" t="str">
        <x:v>2026-08-19 18:20 +08:00</x:v>
      </x:c>
      <x:c r="I19" s="62" t="str">
        <x:v>未建立统一截止时间</x:v>
      </x:c>
      <x:c r="J19" s="62" t="str">
        <x:v>最近合同同步任务约 22 秒，但不等于真实端到端时延；见 GAP-12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1a731ce130945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32" customHeight="1">
      <x:c r="A1" s="3" t="str">
        <x:v>旧系统最新状态分布</x:v>
      </x:c>
      <x:c r="B1" s="3"/>
      <x:c r="C1" s="3"/>
      <x:c r="D1" s="3"/>
    </x:row>
    <x:row r="2" ht="26" customHeight="1">
      <x:c r="A2" s="6" t="str">
        <x:v>按每个业务 ID 的最新一条 JSONL 记录去重；不含订单或客户明细</x:v>
      </x:c>
      <x:c r="B2" s="6"/>
      <x:c r="C2" s="6"/>
      <x:c r="D2" s="6"/>
    </x:row>
    <x:row r="4" ht="28" customHeight="1">
      <x:c r="A4" s="53" t="str">
        <x:v>源文件</x:v>
      </x:c>
      <x:c r="B4" s="54" t="str">
        <x:v>状态</x:v>
      </x:c>
      <x:c r="C4" s="54" t="str">
        <x:v>数量</x:v>
      </x:c>
      <x:c r="D4" s="55" t="str">
        <x:v>分类</x:v>
      </x:c>
    </x:row>
    <x:row r="5">
      <x:c r="A5" s="61" t="str">
        <x:v>orders.jsonl</x:v>
      </x:c>
      <x:c r="B5" s="61" t="str">
        <x:v>SUPERVISOR_APPROVED</x:v>
      </x:c>
      <x:c r="C5" s="63" t="n">
        <x:v>1121</x:v>
      </x:c>
      <x:c r="D5" s="67" t="str">
        <x:v>非待办</x:v>
      </x:c>
    </x:row>
    <x:row r="6">
      <x:c r="A6" s="62" t="str">
        <x:v>orders.jsonl</x:v>
      </x:c>
      <x:c r="B6" s="62" t="str">
        <x:v>CANCELED</x:v>
      </x:c>
      <x:c r="C6" s="64" t="n">
        <x:v>155</x:v>
      </x:c>
      <x:c r="D6" s="70" t="str">
        <x:v>非待办</x:v>
      </x:c>
    </x:row>
    <x:row r="7">
      <x:c r="A7" s="62" t="str">
        <x:v>orders.jsonl</x:v>
      </x:c>
      <x:c r="B7" s="62" t="str">
        <x:v>MANAGER_REJECTED</x:v>
      </x:c>
      <x:c r="C7" s="64" t="n">
        <x:v>14</x:v>
      </x:c>
      <x:c r="D7" s="70" t="str">
        <x:v>非待办</x:v>
      </x:c>
    </x:row>
    <x:row r="8">
      <x:c r="A8" s="62" t="str">
        <x:v>orders.jsonl</x:v>
      </x:c>
      <x:c r="B8" s="62" t="str">
        <x:v>CHAIRMAN_APPROVED</x:v>
      </x:c>
      <x:c r="C8" s="64" t="n">
        <x:v>17</x:v>
      </x:c>
      <x:c r="D8" s="70" t="str">
        <x:v>非待办</x:v>
      </x:c>
    </x:row>
    <x:row r="9">
      <x:c r="A9" s="62" t="str">
        <x:v>orders.jsonl</x:v>
      </x:c>
      <x:c r="B9" s="62" t="str">
        <x:v>SUPERVISOR_REJECTED</x:v>
      </x:c>
      <x:c r="C9" s="64" t="n">
        <x:v>12</x:v>
      </x:c>
      <x:c r="D9" s="70" t="str">
        <x:v>非待办</x:v>
      </x:c>
    </x:row>
    <x:row r="10">
      <x:c r="A10" s="62" t="str">
        <x:v>orders.jsonl</x:v>
      </x:c>
      <x:c r="B10" s="62" t="str">
        <x:v>MANAGER_PENDING</x:v>
      </x:c>
      <x:c r="C10" s="64" t="n">
        <x:v>7</x:v>
      </x:c>
      <x:c r="D10" s="73" t="str">
        <x:v>待办</x:v>
      </x:c>
    </x:row>
    <x:row r="11">
      <x:c r="A11" s="62" t="str">
        <x:v>orders.jsonl</x:v>
      </x:c>
      <x:c r="B11" s="62" t="str">
        <x:v>(blank)</x:v>
      </x:c>
      <x:c r="C11" s="64" t="n">
        <x:v>2</x:v>
      </x:c>
      <x:c r="D11" s="70" t="str">
        <x:v>非待办</x:v>
      </x:c>
    </x:row>
    <x:row r="12">
      <x:c r="A12" s="62" t="str">
        <x:v>orders.jsonl</x:v>
      </x:c>
      <x:c r="B12" s="62" t="str">
        <x:v>SUPERVISOR_PENDING</x:v>
      </x:c>
      <x:c r="C12" s="64" t="n">
        <x:v>2</x:v>
      </x:c>
      <x:c r="D12" s="73" t="str">
        <x:v>待办</x:v>
      </x:c>
    </x:row>
    <x:row r="13">
      <x:c r="A13" s="62" t="str">
        <x:v>stock_prepares.jsonl</x:v>
      </x:c>
      <x:c r="B13" s="62" t="str">
        <x:v>ARCHIVED</x:v>
      </x:c>
      <x:c r="C13" s="64" t="n">
        <x:v>1132</x:v>
      </x:c>
      <x:c r="D13" s="70" t="str">
        <x:v>非待办</x:v>
      </x:c>
    </x:row>
    <x:row r="14">
      <x:c r="A14" s="62" t="str">
        <x:v>stock_prepares.jsonl</x:v>
      </x:c>
      <x:c r="B14" s="62" t="str">
        <x:v>CANCELED</x:v>
      </x:c>
      <x:c r="C14" s="64" t="n">
        <x:v>74</x:v>
      </x:c>
      <x:c r="D14" s="70" t="str">
        <x:v>非待办</x:v>
      </x:c>
    </x:row>
    <x:row r="15">
      <x:c r="A15" s="62" t="str">
        <x:v>stock_prepares.jsonl</x:v>
      </x:c>
      <x:c r="B15" s="62" t="str">
        <x:v>REJECTED</x:v>
      </x:c>
      <x:c r="C15" s="64" t="n">
        <x:v>4</x:v>
      </x:c>
      <x:c r="D15" s="70" t="str">
        <x:v>非待办</x:v>
      </x:c>
    </x:row>
    <x:row r="16">
      <x:c r="A16" s="62" t="str">
        <x:v>stock_prepares.jsonl</x:v>
      </x:c>
      <x:c r="B16" s="62" t="str">
        <x:v>PAYMENT_PENDING</x:v>
      </x:c>
      <x:c r="C16" s="64" t="n">
        <x:v>7</x:v>
      </x:c>
      <x:c r="D16" s="73" t="str">
        <x:v>待办</x:v>
      </x:c>
    </x:row>
    <x:row r="17">
      <x:c r="A17" s="62" t="str">
        <x:v>stock_prepares.jsonl</x:v>
      </x:c>
      <x:c r="B17" s="62" t="str">
        <x:v>RESERVATION_PENDING</x:v>
      </x:c>
      <x:c r="C17" s="64" t="n">
        <x:v>1</x:v>
      </x:c>
      <x:c r="D17" s="73" t="str">
        <x:v>待办</x:v>
      </x:c>
    </x:row>
    <x:row r="18">
      <x:c r="A18" s="62" t="str">
        <x:v>shipments.jsonl</x:v>
      </x:c>
      <x:c r="B18" s="62" t="str">
        <x:v>ARCHIVED</x:v>
      </x:c>
      <x:c r="C18" s="64" t="n">
        <x:v>780</x:v>
      </x:c>
      <x:c r="D18" s="70" t="str">
        <x:v>非待办</x:v>
      </x:c>
    </x:row>
    <x:row r="19">
      <x:c r="A19" s="62" t="str">
        <x:v>shipments.jsonl</x:v>
      </x:c>
      <x:c r="B19" s="62" t="str">
        <x:v>INVOICE_INFO_PENDING</x:v>
      </x:c>
      <x:c r="C19" s="64" t="n">
        <x:v>119</x:v>
      </x:c>
      <x:c r="D19" s="73" t="str">
        <x:v>待办</x:v>
      </x:c>
    </x:row>
    <x:row r="20">
      <x:c r="A20" s="62" t="str">
        <x:v>shipments.jsonl</x:v>
      </x:c>
      <x:c r="B20" s="62" t="str">
        <x:v>RECEIPT_PENDING</x:v>
      </x:c>
      <x:c r="C20" s="64" t="n">
        <x:v>140</x:v>
      </x:c>
      <x:c r="D20" s="73" t="str">
        <x:v>待办</x:v>
      </x:c>
    </x:row>
    <x:row r="21">
      <x:c r="A21" s="62" t="str">
        <x:v>shipments.jsonl</x:v>
      </x:c>
      <x:c r="B21" s="62" t="str">
        <x:v>CANCELED</x:v>
      </x:c>
      <x:c r="C21" s="64" t="n">
        <x:v>40</x:v>
      </x:c>
      <x:c r="D21" s="70" t="str">
        <x:v>非待办</x:v>
      </x:c>
    </x:row>
    <x:row r="22">
      <x:c r="A22" s="62" t="str">
        <x:v>shipments.jsonl</x:v>
      </x:c>
      <x:c r="B22" s="62" t="str">
        <x:v>WAREHOUSE_PENDING</x:v>
      </x:c>
      <x:c r="C22" s="64" t="n">
        <x:v>75</x:v>
      </x:c>
      <x:c r="D22" s="73" t="str">
        <x:v>待办</x:v>
      </x:c>
    </x:row>
    <x:row r="23">
      <x:c r="A23" s="62" t="str">
        <x:v>shipments.jsonl</x:v>
      </x:c>
      <x:c r="B23" s="62" t="str">
        <x:v>REJECTED</x:v>
      </x:c>
      <x:c r="C23" s="64" t="n">
        <x:v>5</x:v>
      </x:c>
      <x:c r="D23" s="70" t="str">
        <x:v>非待办</x:v>
      </x:c>
    </x:row>
    <x:row r="24">
      <x:c r="A24" s="62" t="str">
        <x:v>invoices.jsonl</x:v>
      </x:c>
      <x:c r="B24" s="62" t="str">
        <x:v>ARCHIVED</x:v>
      </x:c>
      <x:c r="C24" s="64" t="n">
        <x:v>733</x:v>
      </x:c>
      <x:c r="D24" s="70" t="str">
        <x:v>非待办</x:v>
      </x:c>
    </x:row>
    <x:row r="25">
      <x:c r="A25" s="62" t="str">
        <x:v>invoices.jsonl</x:v>
      </x:c>
      <x:c r="B25" s="62" t="str">
        <x:v>CANCELED</x:v>
      </x:c>
      <x:c r="C25" s="64" t="n">
        <x:v>3</x:v>
      </x:c>
      <x:c r="D25" s="70" t="str">
        <x:v>非待办</x:v>
      </x:c>
    </x:row>
    <x:row r="26">
      <x:c r="A26" s="62" t="str">
        <x:v>invoices.jsonl</x:v>
      </x:c>
      <x:c r="B26" s="62" t="str">
        <x:v>STAMP_RETURN_PENDING</x:v>
      </x:c>
      <x:c r="C26" s="64" t="n">
        <x:v>42</x:v>
      </x:c>
      <x:c r="D26" s="73" t="str">
        <x:v>待办</x:v>
      </x:c>
    </x:row>
    <x:row r="27">
      <x:c r="A27" s="62" t="str">
        <x:v>invoices.jsonl</x:v>
      </x:c>
      <x:c r="B27" s="62" t="str">
        <x:v>NO_INVOICE_PENDING</x:v>
      </x:c>
      <x:c r="C27" s="64" t="n">
        <x:v>1</x:v>
      </x:c>
      <x:c r="D27" s="73" t="str">
        <x:v>待办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39e6ebcb27c45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4" hidden="0" customWidth="1"/>
    <x:col min="5" max="5" width="26" hidden="0" customWidth="1"/>
    <x:col min="6" max="6" width="26" hidden="0" customWidth="1"/>
  </x:cols>
  <x:sheetData>
    <x:row r="1" ht="32" customHeight="1">
      <x:c r="A1" s="3" t="str">
        <x:v>旧系统 JSONL 文件底账</x:v>
      </x:c>
      <x:c r="B1" s="3"/>
      <x:c r="C1" s="3"/>
      <x:c r="D1" s="3"/>
      <x:c r="E1" s="3"/>
      <x:c r="F1" s="3"/>
    </x:row>
    <x:row r="2" ht="26" customHeight="1">
      <x:c r="A2" s="6" t="str">
        <x:v>现场实际 24 个顶层 JSONL；总物理行 135,229</x:v>
      </x:c>
      <x:c r="B2" s="6"/>
      <x:c r="C2" s="6"/>
      <x:c r="D2" s="6"/>
      <x:c r="E2" s="6"/>
      <x:c r="F2" s="6"/>
    </x:row>
    <x:row r="4" ht="28" customHeight="1">
      <x:c r="A4" s="53" t="str">
        <x:v>文件</x:v>
      </x:c>
      <x:c r="B4" s="54" t="str">
        <x:v>字节数</x:v>
      </x:c>
      <x:c r="C4" s="54" t="str">
        <x:v>物理行数</x:v>
      </x:c>
      <x:c r="D4" s="54" t="str">
        <x:v>解析错误</x:v>
      </x:c>
      <x:c r="E4" s="54" t="str">
        <x:v>最早时间</x:v>
      </x:c>
      <x:c r="F4" s="55" t="str">
        <x:v>最晚时间</x:v>
      </x:c>
    </x:row>
    <x:row r="5">
      <x:c r="A5" s="61" t="str">
        <x:v>approval_bot_messages.jsonl</x:v>
      </x:c>
      <x:c r="B5" s="63" t="n">
        <x:v>5062329</x:v>
      </x:c>
      <x:c r="C5" s="63" t="n">
        <x:v>13323</x:v>
      </x:c>
      <x:c r="D5" s="61" t="n">
        <x:v>0</x:v>
      </x:c>
      <x:c r="E5" s="74" t="n">
        <x:v>46168.12945962963</x:v>
      </x:c>
      <x:c r="F5" s="74" t="n">
        <x:v>46253.34908221065</x:v>
      </x:c>
    </x:row>
    <x:row r="6">
      <x:c r="A6" s="62" t="str">
        <x:v>approval_comment_corrections.jsonl</x:v>
      </x:c>
      <x:c r="B6" s="64" t="n">
        <x:v>277</x:v>
      </x:c>
      <x:c r="C6" s="64" t="n">
        <x:v>1</x:v>
      </x:c>
      <x:c r="D6" s="62" t="n">
        <x:v>0</x:v>
      </x:c>
      <x:c r="E6" s="75" t="n">
        <x:v>46182.104166666664</x:v>
      </x:c>
      <x:c r="F6" s="75" t="n">
        <x:v>46182.104166666664</x:v>
      </x:c>
    </x:row>
    <x:row r="7">
      <x:c r="A7" s="62" t="str">
        <x:v>approval_comments.jsonl</x:v>
      </x:c>
      <x:c r="B7" s="64" t="n">
        <x:v>254944</x:v>
      </x:c>
      <x:c r="C7" s="64" t="n">
        <x:v>330</x:v>
      </x:c>
      <x:c r="D7" s="62" t="n">
        <x:v>0</x:v>
      </x:c>
      <x:c r="E7" s="75" t="n">
        <x:v>46174.55546175926</x:v>
      </x:c>
      <x:c r="F7" s="75" t="n">
        <x:v>46253.15784505787</x:v>
      </x:c>
    </x:row>
    <x:row r="8">
      <x:c r="A8" s="62" t="str">
        <x:v>approval_delay_reminders.jsonl</x:v>
      </x:c>
      <x:c r="B8" s="64" t="n">
        <x:v>3644946</x:v>
      </x:c>
      <x:c r="C8" s="64" t="n">
        <x:v>6216</x:v>
      </x:c>
      <x:c r="D8" s="62" t="n">
        <x:v>0</x:v>
      </x:c>
      <x:c r="E8" s="75" t="n">
        <x:v>46181.25823555556</x:v>
      </x:c>
      <x:c r="F8" s="75" t="n">
        <x:v>46253.324996944444</x:v>
      </x:c>
    </x:row>
    <x:row r="9">
      <x:c r="A9" s="62" t="str">
        <x:v>approval_maintenance_notifications.jsonl</x:v>
      </x:c>
      <x:c r="B9" s="64" t="n">
        <x:v>9689</x:v>
      </x:c>
      <x:c r="C9" s="64" t="n">
        <x:v>10</x:v>
      </x:c>
      <x:c r="D9" s="62" t="n">
        <x:v>0</x:v>
      </x:c>
      <x:c r="E9" s="75"/>
      <x:c r="F9" s="75"/>
    </x:row>
    <x:row r="10">
      <x:c r="A10" s="62" t="str">
        <x:v>background_jobs.jsonl</x:v>
      </x:c>
      <x:c r="B10" s="64" t="n">
        <x:v>15641844</x:v>
      </x:c>
      <x:c r="C10" s="64" t="n">
        <x:v>11694</x:v>
      </x:c>
      <x:c r="D10" s="62" t="n">
        <x:v>0</x:v>
      </x:c>
      <x:c r="E10" s="75" t="n">
        <x:v>46168.11256275463</x:v>
      </x:c>
      <x:c r="F10" s="75" t="n">
        <x:v>46253.349082361114</x:v>
      </x:c>
    </x:row>
    <x:row r="11">
      <x:c r="A11" s="62" t="str">
        <x:v>bitable_contract_files.jsonl</x:v>
      </x:c>
      <x:c r="B11" s="64" t="n">
        <x:v>2753719</x:v>
      </x:c>
      <x:c r="C11" s="64" t="n">
        <x:v>6929</x:v>
      </x:c>
      <x:c r="D11" s="62" t="n">
        <x:v>0</x:v>
      </x:c>
      <x:c r="E11" s="75"/>
      <x:c r="F11" s="75"/>
    </x:row>
    <x:row r="12">
      <x:c r="A12" s="62" t="str">
        <x:v>bitable_flow_item_records.jsonl</x:v>
      </x:c>
      <x:c r="B12" s="64" t="n">
        <x:v>22176</x:v>
      </x:c>
      <x:c r="C12" s="64" t="n">
        <x:v>63</x:v>
      </x:c>
      <x:c r="D12" s="62" t="n">
        <x:v>0</x:v>
      </x:c>
      <x:c r="E12" s="75"/>
      <x:c r="F12" s="75"/>
    </x:row>
    <x:row r="13">
      <x:c r="A13" s="62" t="str">
        <x:v>bitable_flow_records.jsonl</x:v>
      </x:c>
      <x:c r="B13" s="64" t="n">
        <x:v>6365198</x:v>
      </x:c>
      <x:c r="C13" s="64" t="n">
        <x:v>16397</x:v>
      </x:c>
      <x:c r="D13" s="62" t="n">
        <x:v>0</x:v>
      </x:c>
      <x:c r="E13" s="75"/>
      <x:c r="F13" s="75"/>
    </x:row>
    <x:row r="14">
      <x:c r="A14" s="62" t="str">
        <x:v>callbacks.jsonl</x:v>
      </x:c>
      <x:c r="B14" s="64" t="n">
        <x:v>77408</x:v>
      </x:c>
      <x:c r="C14" s="64" t="n">
        <x:v>149</x:v>
      </x:c>
      <x:c r="D14" s="62" t="n">
        <x:v>0</x:v>
      </x:c>
      <x:c r="E14" s="75"/>
      <x:c r="F14" s="75"/>
    </x:row>
    <x:row r="15">
      <x:c r="A15" s="62" t="str">
        <x:v>customer_bitable_sync.jsonl</x:v>
      </x:c>
      <x:c r="B15" s="64" t="n">
        <x:v>404099</x:v>
      </x:c>
      <x:c r="C15" s="64" t="n">
        <x:v>1009</x:v>
      </x:c>
      <x:c r="D15" s="62" t="n">
        <x:v>0</x:v>
      </x:c>
      <x:c r="E15" s="75"/>
      <x:c r="F15" s="75"/>
    </x:row>
    <x:row r="16">
      <x:c r="A16" s="62" t="str">
        <x:v>external_instances.jsonl</x:v>
      </x:c>
      <x:c r="B16" s="64" t="n">
        <x:v>69737077</x:v>
      </x:c>
      <x:c r="C16" s="64" t="n">
        <x:v>12696</x:v>
      </x:c>
      <x:c r="D16" s="62" t="n">
        <x:v>0</x:v>
      </x:c>
      <x:c r="E16" s="75" t="n">
        <x:v>46168.12944775463</x:v>
      </x:c>
      <x:c r="F16" s="75" t="n">
        <x:v>46253.35145747685</x:v>
      </x:c>
    </x:row>
    <x:row r="17">
      <x:c r="A17" s="62" t="str">
        <x:v>flow_supervisor_comments.jsonl</x:v>
      </x:c>
      <x:c r="B17" s="64" t="n">
        <x:v>5960</x:v>
      </x:c>
      <x:c r="C17" s="64" t="n">
        <x:v>17</x:v>
      </x:c>
      <x:c r="D17" s="62" t="n">
        <x:v>0</x:v>
      </x:c>
      <x:c r="E17" s="75" t="n">
        <x:v>46189.34941423611</x:v>
      </x:c>
      <x:c r="F17" s="75" t="n">
        <x:v>46190.10447425926</x:v>
      </x:c>
    </x:row>
    <x:row r="18">
      <x:c r="A18" s="62" t="str">
        <x:v>invoice_events.jsonl</x:v>
      </x:c>
      <x:c r="B18" s="64" t="n">
        <x:v>2525819</x:v>
      </x:c>
      <x:c r="C18" s="64" t="n">
        <x:v>4327</x:v>
      </x:c>
      <x:c r="D18" s="62" t="n">
        <x:v>0</x:v>
      </x:c>
      <x:c r="E18" s="75" t="n">
        <x:v>46170.09311782407</x:v>
      </x:c>
      <x:c r="F18" s="75" t="n">
        <x:v>46253.347270474536</x:v>
      </x:c>
    </x:row>
    <x:row r="19">
      <x:c r="A19" s="62" t="str">
        <x:v>invoices.jsonl</x:v>
      </x:c>
      <x:c r="B19" s="64" t="n">
        <x:v>5667964</x:v>
      </x:c>
      <x:c r="C19" s="64" t="n">
        <x:v>1347</x:v>
      </x:c>
      <x:c r="D19" s="62" t="n">
        <x:v>0</x:v>
      </x:c>
      <x:c r="E19" s="75" t="n">
        <x:v>46170.09311782407</x:v>
      </x:c>
      <x:c r="F19" s="75" t="n">
        <x:v>46253.347270474536</x:v>
      </x:c>
    </x:row>
    <x:row r="20">
      <x:c r="A20" s="62" t="str">
        <x:v>order_events.jsonl</x:v>
      </x:c>
      <x:c r="B20" s="64" t="n">
        <x:v>5765547</x:v>
      </x:c>
      <x:c r="C20" s="64" t="n">
        <x:v>12135</x:v>
      </x:c>
      <x:c r="D20" s="62" t="n">
        <x:v>0</x:v>
      </x:c>
      <x:c r="E20" s="75" t="n">
        <x:v>46168.11256263889</x:v>
      </x:c>
      <x:c r="F20" s="75" t="n">
        <x:v>46253.34907597222</x:v>
      </x:c>
    </x:row>
    <x:row r="21">
      <x:c r="A21" s="62" t="str">
        <x:v>orders.jsonl</x:v>
      </x:c>
      <x:c r="B21" s="64" t="n">
        <x:v>29748861</x:v>
      </x:c>
      <x:c r="C21" s="64" t="n">
        <x:v>7651</x:v>
      </x:c>
      <x:c r="D21" s="62" t="n">
        <x:v>0</x:v>
      </x:c>
      <x:c r="E21" s="75" t="n">
        <x:v>46168.11256263889</x:v>
      </x:c>
      <x:c r="F21" s="75" t="n">
        <x:v>46253.34907597222</x:v>
      </x:c>
    </x:row>
    <x:row r="22">
      <x:c r="A22" s="62" t="str">
        <x:v>service_health_events.jsonl</x:v>
      </x:c>
      <x:c r="B22" s="64" t="n">
        <x:v>68561</x:v>
      </x:c>
      <x:c r="C22" s="64" t="n">
        <x:v>314</x:v>
      </x:c>
      <x:c r="D22" s="62" t="n">
        <x:v>0</x:v>
      </x:c>
      <x:c r="E22" s="75" t="n">
        <x:v>46191.31364019676</x:v>
      </x:c>
      <x:c r="F22" s="75" t="n">
        <x:v>46253.275967222224</x:v>
      </x:c>
    </x:row>
    <x:row r="23">
      <x:c r="A23" s="62" t="str">
        <x:v>shipment_delay_reminders.jsonl</x:v>
      </x:c>
      <x:c r="B23" s="64" t="n">
        <x:v>157537</x:v>
      </x:c>
      <x:c r="C23" s="64" t="n">
        <x:v>336</x:v>
      </x:c>
      <x:c r="D23" s="62" t="n">
        <x:v>0</x:v>
      </x:c>
      <x:c r="E23" s="75" t="n">
        <x:v>46171.44013534722</x:v>
      </x:c>
      <x:c r="F23" s="75" t="n">
        <x:v>46181.254053703706</x:v>
      </x:c>
    </x:row>
    <x:row r="24">
      <x:c r="A24" s="62" t="str">
        <x:v>shipment_events.jsonl</x:v>
      </x:c>
      <x:c r="B24" s="64" t="n">
        <x:v>9604225</x:v>
      </x:c>
      <x:c r="C24" s="64" t="n">
        <x:v>16294</x:v>
      </x:c>
      <x:c r="D24" s="62" t="n">
        <x:v>0</x:v>
      </x:c>
      <x:c r="E24" s="75" t="n">
        <x:v>46168.21738043981</x:v>
      </x:c>
      <x:c r="F24" s="75" t="n">
        <x:v>46253.34725028935</x:v>
      </x:c>
    </x:row>
    <x:row r="25">
      <x:c r="A25" s="62" t="str">
        <x:v>shipments.jsonl</x:v>
      </x:c>
      <x:c r="B25" s="64" t="n">
        <x:v>16319275</x:v>
      </x:c>
      <x:c r="C25" s="64" t="n">
        <x:v>4241</x:v>
      </x:c>
      <x:c r="D25" s="62" t="n">
        <x:v>0</x:v>
      </x:c>
      <x:c r="E25" s="75" t="n">
        <x:v>46168.21738043981</x:v>
      </x:c>
      <x:c r="F25" s="75" t="n">
        <x:v>46253.34725028935</x:v>
      </x:c>
    </x:row>
    <x:row r="26">
      <x:c r="A26" s="62" t="str">
        <x:v>stock_prepare_events.jsonl</x:v>
      </x:c>
      <x:c r="B26" s="64" t="n">
        <x:v>7754193</x:v>
      </x:c>
      <x:c r="C26" s="64" t="n">
        <x:v>15308</x:v>
      </x:c>
      <x:c r="D26" s="62" t="n">
        <x:v>0</x:v>
      </x:c>
      <x:c r="E26" s="75" t="n">
        <x:v>46168.12944775463</x:v>
      </x:c>
      <x:c r="F26" s="75" t="n">
        <x:v>46253.33825721065</x:v>
      </x:c>
    </x:row>
    <x:row r="27">
      <x:c r="A27" s="62" t="str">
        <x:v>stock_prepares.jsonl</x:v>
      </x:c>
      <x:c r="B27" s="64" t="n">
        <x:v>12939495</x:v>
      </x:c>
      <x:c r="C27" s="64" t="n">
        <x:v>4421</x:v>
      </x:c>
      <x:c r="D27" s="62" t="n">
        <x:v>0</x:v>
      </x:c>
      <x:c r="E27" s="75" t="n">
        <x:v>46168.12944775463</x:v>
      </x:c>
      <x:c r="F27" s="75" t="n">
        <x:v>46253.33825721065</x:v>
      </x:c>
    </x:row>
    <x:row r="28">
      <x:c r="A28" s="62" t="str">
        <x:v>warehouse_notice_cards.jsonl</x:v>
      </x:c>
      <x:c r="B28" s="64" t="n">
        <x:v>25679</x:v>
      </x:c>
      <x:c r="C28" s="64" t="n">
        <x:v>21</x:v>
      </x:c>
      <x:c r="D28" s="62" t="n">
        <x:v>0</x:v>
      </x:c>
      <x:c r="E28" s="75"/>
      <x:c r="F28" s="75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24df5848fc14b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16" hidden="0" customWidth="1"/>
    <x:col min="4" max="4" width="20" hidden="0" customWidth="1"/>
    <x:col min="5" max="5" width="26" hidden="0" customWidth="1"/>
  </x:cols>
  <x:sheetData>
    <x:row r="1" ht="32" customHeight="1">
      <x:c r="A1" s="3" t="str">
        <x:v>业务附件目录基线</x:v>
      </x:c>
      <x:c r="B1" s="3"/>
      <x:c r="C1" s="3"/>
      <x:c r="D1" s="3"/>
      <x:c r="E1" s="3"/>
    </x:row>
    <x:row r="2" ht="26" customHeight="1">
      <x:c r="A2" s="6" t="str">
        <x:v>只对 7 个明确业务目录进行文件数与字节数汇总，不读取文件内容</x:v>
      </x:c>
      <x:c r="B2" s="6"/>
      <x:c r="C2" s="6"/>
      <x:c r="D2" s="6"/>
      <x:c r="E2" s="6"/>
    </x:row>
    <x:row r="4" ht="28" customHeight="1">
      <x:c r="A4" s="53" t="str">
        <x:v>类别</x:v>
      </x:c>
      <x:c r="B4" s="54" t="str">
        <x:v>目录</x:v>
      </x:c>
      <x:c r="C4" s="54" t="str">
        <x:v>文件数</x:v>
      </x:c>
      <x:c r="D4" s="54" t="str">
        <x:v>总字节</x:v>
      </x:c>
      <x:c r="E4" s="55" t="str">
        <x:v>最新写入/状态</x:v>
      </x:c>
    </x:row>
    <x:row r="5">
      <x:c r="A5" s="61" t="str">
        <x:v>合同</x:v>
      </x:c>
      <x:c r="B5" s="61" t="str">
        <x:v>C:\feishu-approval-poc\data\contracts</x:v>
      </x:c>
      <x:c r="C5" s="63" t="n">
        <x:v>1949</x:v>
      </x:c>
      <x:c r="D5" s="63" t="n">
        <x:v>2400100353</x:v>
      </x:c>
      <x:c r="E5" s="61" t="str">
        <x:v>2026-08-19 17:24:18 +08:00</x:v>
      </x:c>
    </x:row>
    <x:row r="6">
      <x:c r="A6" s="62" t="str">
        <x:v>客户合同上传</x:v>
      </x:c>
      <x:c r="B6" s="62" t="str">
        <x:v>C:\feishu-approval-poc\data\customer_contract_uploads</x:v>
      </x:c>
      <x:c r="C6" s="64" t="n">
        <x:v>9</x:v>
      </x:c>
      <x:c r="D6" s="64" t="n">
        <x:v>6438125</x:v>
      </x:c>
      <x:c r="E6" s="62" t="str">
        <x:v>2026-08-19 17:24:18 +08:00</x:v>
      </x:c>
    </x:row>
    <x:row r="7">
      <x:c r="A7" s="62" t="str">
        <x:v>出库单</x:v>
      </x:c>
      <x:c r="B7" s="62" t="str">
        <x:v>C:\feishu-approval-poc\data\outbound_orders</x:v>
      </x:c>
      <x:c r="C7" s="64" t="n">
        <x:v>1256</x:v>
      </x:c>
      <x:c r="D7" s="64" t="n">
        <x:v>10723514</x:v>
      </x:c>
      <x:c r="E7" s="62" t="str">
        <x:v>2026-08-19 17:24:18 +08:00</x:v>
      </x:c>
    </x:row>
    <x:row r="8">
      <x:c r="A8" s="62" t="str">
        <x:v>回单</x:v>
      </x:c>
      <x:c r="B8" s="62" t="str">
        <x:v>C:\feishu-approval-poc\data\shipment_receipts</x:v>
      </x:c>
      <x:c r="C8" s="64" t="n">
        <x:v>971</x:v>
      </x:c>
      <x:c r="D8" s="64" t="n">
        <x:v>654130350</x:v>
      </x:c>
      <x:c r="E8" s="62" t="str">
        <x:v>2026-08-19 17:24:18 +08:00</x:v>
      </x:c>
    </x:row>
    <x:row r="9">
      <x:c r="A9" s="62" t="str">
        <x:v>开票申请</x:v>
      </x:c>
      <x:c r="B9" s="62" t="str">
        <x:v>C:\feishu-approval-poc\data\invoice_applications</x:v>
      </x:c>
      <x:c r="C9" s="64" t="n">
        <x:v>767</x:v>
      </x:c>
      <x:c r="D9" s="64" t="n">
        <x:v>5768329</x:v>
      </x:c>
      <x:c r="E9" s="62" t="str">
        <x:v>2026-08-19 17:24:18 +08:00</x:v>
      </x:c>
    </x:row>
    <x:row r="10">
      <x:c r="A10" s="62" t="str">
        <x:v>发票文件</x:v>
      </x:c>
      <x:c r="B10" s="62" t="str">
        <x:v>C:\feishu-approval-poc\data\invoice_files</x:v>
      </x:c>
      <x:c r="C10" s="64" t="n">
        <x:v>88</x:v>
      </x:c>
      <x:c r="D10" s="64" t="n">
        <x:v>70853388</x:v>
      </x:c>
      <x:c r="E10" s="62" t="str">
        <x:v>2026-08-19 17:24:18 +08:00</x:v>
      </x:c>
    </x:row>
    <x:row r="11">
      <x:c r="A11" s="62" t="str">
        <x:v>开票材料包</x:v>
      </x:c>
      <x:c r="B11" s="62" t="str">
        <x:v>C:\feishu-approval-poc\data\invoice_material_packages</x:v>
      </x:c>
      <x:c r="C11" s="64" t="n">
        <x:v>0</x:v>
      </x:c>
      <x:c r="D11" s="64" t="n">
        <x:v>0</x:v>
      </x:c>
      <x:c r="E11" s="62" t="str">
        <x:v>无文件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a07a8814c13427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6" hidden="0" customWidth="1"/>
  </x:cols>
  <x:sheetData>
    <x:row r="1" ht="32" customHeight="1">
      <x:c r="A1" s="3" t="str">
        <x:v>JSONL 文件引用存在性检查</x:v>
      </x:c>
      <x:c r="B1" s="3"/>
      <x:c r="C1" s="3"/>
      <x:c r="D1" s="3"/>
      <x:c r="E1" s="3"/>
      <x:c r="F1" s="3"/>
      <x:c r="G1" s="3"/>
    </x:row>
    <x:row r="2" ht="26" customHeight="1">
      <x:c r="A2" s="6" t="str">
        <x:v>仅对 JSONL 中明确引用的路径批量执行只读 stat；未扫描服务器目录</x:v>
      </x:c>
      <x:c r="B2" s="6"/>
      <x:c r="C2" s="6"/>
      <x:c r="D2" s="6"/>
      <x:c r="E2" s="6"/>
      <x:c r="F2" s="6"/>
      <x:c r="G2" s="6"/>
    </x:row>
    <x:row r="4" ht="28" customHeight="1">
      <x:c r="A4" s="53" t="str">
        <x:v>类别</x:v>
      </x:c>
      <x:c r="B4" s="54" t="str">
        <x:v>唯一引用</x:v>
      </x:c>
      <x:c r="C4" s="54" t="str">
        <x:v>存在</x:v>
      </x:c>
      <x:c r="D4" s="54" t="str">
        <x:v>缺失</x:v>
      </x:c>
      <x:c r="E4" s="54" t="str">
        <x:v>检查错误</x:v>
      </x:c>
      <x:c r="F4" s="54" t="str">
        <x:v>存在文件总字节</x:v>
      </x:c>
      <x:c r="G4" s="55" t="str">
        <x:v>判断</x:v>
      </x:c>
    </x:row>
    <x:row r="5">
      <x:c r="A5" s="61" t="str">
        <x:v>其他附件</x:v>
      </x:c>
      <x:c r="B5" s="63" t="n">
        <x:v>437</x:v>
      </x:c>
      <x:c r="C5" s="63" t="n">
        <x:v>145</x:v>
      </x:c>
      <x:c r="D5" s="63" t="n">
        <x:v>292</x:v>
      </x:c>
      <x:c r="E5" s="63" t="n">
        <x:v>0</x:v>
      </x:c>
      <x:c r="F5" s="63" t="n">
        <x:v>24939601</x:v>
      </x:c>
      <x:c r="G5" s="61" t="str">
        <x:v>存在缺失</x:v>
      </x:c>
    </x:row>
    <x:row r="6">
      <x:c r="A6" s="62" t="str">
        <x:v>出库单</x:v>
      </x:c>
      <x:c r="B6" s="64" t="n">
        <x:v>1227</x:v>
      </x:c>
      <x:c r="C6" s="64" t="n">
        <x:v>1227</x:v>
      </x:c>
      <x:c r="D6" s="64" t="n">
        <x:v>0</x:v>
      </x:c>
      <x:c r="E6" s="64" t="n">
        <x:v>0</x:v>
      </x:c>
      <x:c r="F6" s="64" t="n">
        <x:v>10476203</x:v>
      </x:c>
      <x:c r="G6" s="62" t="str">
        <x:v>完整</x:v>
      </x:c>
    </x:row>
    <x:row r="7">
      <x:c r="A7" s="62" t="str">
        <x:v>合同</x:v>
      </x:c>
      <x:c r="B7" s="64" t="n">
        <x:v>4472</x:v>
      </x:c>
      <x:c r="C7" s="64" t="n">
        <x:v>3610</x:v>
      </x:c>
      <x:c r="D7" s="64" t="n">
        <x:v>862</x:v>
      </x:c>
      <x:c r="E7" s="64" t="n">
        <x:v>0</x:v>
      </x:c>
      <x:c r="F7" s="64" t="n">
        <x:v>2893839976</x:v>
      </x:c>
      <x:c r="G7" s="62" t="str">
        <x:v>存在缺失</x:v>
      </x:c>
    </x:row>
    <x:row r="8">
      <x:c r="A8" s="62" t="str">
        <x:v>开票申请</x:v>
      </x:c>
      <x:c r="B8" s="64" t="n">
        <x:v>766</x:v>
      </x:c>
      <x:c r="C8" s="64" t="n">
        <x:v>766</x:v>
      </x:c>
      <x:c r="D8" s="64" t="n">
        <x:v>0</x:v>
      </x:c>
      <x:c r="E8" s="64" t="n">
        <x:v>0</x:v>
      </x:c>
      <x:c r="F8" s="64" t="n">
        <x:v>5760817</x:v>
      </x:c>
      <x:c r="G8" s="62" t="str">
        <x:v>完整</x:v>
      </x:c>
    </x:row>
    <x:row r="9">
      <x:c r="A9" s="62" t="str">
        <x:v>系统证据文件</x:v>
      </x:c>
      <x:c r="B9" s="64" t="n">
        <x:v>43644</x:v>
      </x:c>
      <x:c r="C9" s="64" t="n">
        <x:v>20402</x:v>
      </x:c>
      <x:c r="D9" s="64" t="n">
        <x:v>23242</x:v>
      </x:c>
      <x:c r="E9" s="64" t="n">
        <x:v>0</x:v>
      </x:c>
      <x:c r="F9" s="64" t="n">
        <x:v>181363019</x:v>
      </x:c>
      <x:c r="G9" s="62" t="str">
        <x:v>存在缺失</x:v>
      </x:c>
    </x:row>
  </x:sheetData>
  <x:mergeCells>
    <x:mergeCell ref="A1:G1"/>
    <x:mergeCell ref="A2:G2"/>
  </x:mergeCells>
  <x:conditionalFormatting sqref="G5:G9">
    <x:cfRule type="containsText" dxfId="13" priority="1" operator="containsText" text="存在缺失"/>
    <x:cfRule type="containsText" dxfId="14" priority="2" operator="containsText" text="完整"/>
  </x:conditionalFormatting>
  <x:pageMargins left="0.7" right="0.7" top="0.75" bottom="0.75" header="0.3" footer="0.3"/>
  <x:tableParts count="1">
    <x:tablePart xmlns:r="http://schemas.openxmlformats.org/officeDocument/2006/relationships" r:id="R1458c791ee394c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58" hidden="0" customWidth="1"/>
    <x:col min="5" max="5" width="36" hidden="0" customWidth="1"/>
    <x:col min="6" max="6" width="48" hidden="0" customWidth="1"/>
  </x:cols>
  <x:sheetData>
    <x:row r="1" ht="32" customHeight="1">
      <x:c r="A1" s="3" t="str">
        <x:v>异常与风险清单</x:v>
      </x:c>
      <x:c r="B1" s="3"/>
      <x:c r="C1" s="3"/>
      <x:c r="D1" s="3"/>
      <x:c r="E1" s="3"/>
      <x:c r="F1" s="3"/>
    </x:row>
    <x:row r="2" ht="26" customHeight="1">
      <x:c r="A2" s="6" t="str">
        <x:v>阻塞项必须关闭后才可重新评审第一次发布</x:v>
      </x:c>
      <x:c r="B2" s="6"/>
      <x:c r="C2" s="6"/>
      <x:c r="D2" s="6"/>
      <x:c r="E2" s="6"/>
      <x:c r="F2" s="6"/>
    </x:row>
    <x:row r="4" ht="28" customHeight="1">
      <x:c r="A4" s="53" t="str">
        <x:v>编号</x:v>
      </x:c>
      <x:c r="B4" s="54" t="str">
        <x:v>级别</x:v>
      </x:c>
      <x:c r="C4" s="54" t="str">
        <x:v>异常</x:v>
      </x:c>
      <x:c r="D4" s="54" t="str">
        <x:v>证据</x:v>
      </x:c>
      <x:c r="E4" s="54" t="str">
        <x:v>影响</x:v>
      </x:c>
      <x:c r="F4" s="55" t="str">
        <x:v>建议处理</x:v>
      </x:c>
    </x:row>
    <x:row r="5">
      <x:c r="A5" s="61" t="str">
        <x:v>EX-01</x:v>
      </x:c>
      <x:c r="B5" s="61" t="str">
        <x:v>阻塞</x:v>
      </x:c>
      <x:c r="C5" s="61" t="str">
        <x:v>新系统部署对象不一致</x:v>
      </x:c>
      <x:c r="D5" s="61" t="str">
        <x:v>文档期望 b2b_pilot_v3，现场为 b2b_pilot_v2。</x:v>
      </x:c>
      <x:c r="E5" s="61" t="str">
        <x:v>设计、代码和现场无法一一对应。</x:v>
      </x:c>
      <x:c r="F5" s="61" t="str">
        <x:v>明确第一次发布唯一仓库、分支、提交和部署目录。</x:v>
      </x:c>
    </x:row>
    <x:row r="6">
      <x:c r="A6" s="62" t="str">
        <x:v>EX-02</x:v>
      </x:c>
      <x:c r="B6" s="62" t="str">
        <x:v>阻塞</x:v>
      </x:c>
      <x:c r="C6" s="62" t="str">
        <x:v>桥接模块缺失</x:v>
      </x:c>
      <x:c r="D6" s="62" t="str">
        <x:v>仓库中无 bridge/auth-url 实现，公网接口 404。</x:v>
      </x:c>
      <x:c r="E6" s="62" t="str">
        <x:v>销售助理无法通过新系统桥接旧系统。</x:v>
      </x:c>
      <x:c r="F6" s="62" t="str">
        <x:v>完成 bridge 实现、部署和只读联调后再评审。</x:v>
      </x:c>
    </x:row>
    <x:row r="7">
      <x:c r="A7" s="62" t="str">
        <x:v>EX-03</x:v>
      </x:c>
      <x:c r="B7" s="62" t="str">
        <x:v>阻塞</x:v>
      </x:c>
      <x:c r="C7" s="62" t="str">
        <x:v>V01 审批配置缺失</x:v>
      </x:c>
      <x:c r="D7" s="62" t="str">
        <x:v>无 V01 profile，两个关键审批角色暂空。</x:v>
      </x:c>
      <x:c r="E7" s="62" t="str">
        <x:v>订单无法形成预期审批链。</x:v>
      </x:c>
      <x:c r="F7" s="62" t="str">
        <x:v>补齐 profile、姓名和脱敏 ID 指纹，并在测试环境验证。</x:v>
      </x:c>
    </x:row>
    <x:row r="8">
      <x:c r="A8" s="62" t="str">
        <x:v>EX-04</x:v>
      </x:c>
      <x:c r="B8" s="62" t="str">
        <x:v>阻塞</x:v>
      </x:c>
      <x:c r="C8" s="62" t="str">
        <x:v>B2B_V01_ 自动确认逻辑缺失</x:v>
      </x:c>
      <x:c r="D8" s="62" t="str">
        <x:v>生产和 GitLab main 均未找到该前缀逻辑。</x:v>
      </x:c>
      <x:c r="E8" s="62" t="str">
        <x:v>新系统提交后仍可能停在旧系统信息确认节点。</x:v>
      </x:c>
      <x:c r="F8" s="62" t="str">
        <x:v>实现旧系统唯一改动并做幂等、重复提交和回滚测试。</x:v>
      </x:c>
    </x:row>
    <x:row r="9">
      <x:c r="A9" s="62" t="str">
        <x:v>EX-05</x:v>
      </x:c>
      <x:c r="B9" s="62" t="str">
        <x:v>高</x:v>
      </x:c>
      <x:c r="C9" s="62" t="str">
        <x:v>飞书回调白名单未就绪</x:v>
      </x:c>
      <x:c r="D9" s="62" t="str">
        <x:v>重定向 URL 仅包含旧系统地址。</x:v>
      </x:c>
      <x:c r="E9" s="62" t="str">
        <x:v>OAuth 回调可能失败。</x:v>
      </x:c>
      <x:c r="F9" s="62" t="str">
        <x:v>确定 v0.1 回调 URL，并在应用后台加入后截图取证。</x:v>
      </x:c>
    </x:row>
    <x:row r="10">
      <x:c r="A10" s="62" t="str">
        <x:v>EX-06</x:v>
      </x:c>
      <x:c r="B10" s="62" t="str">
        <x:v>高</x:v>
      </x:c>
      <x:c r="C10" s="62" t="str">
        <x:v>企微主页指向旧业务页面</x:v>
      </x:c>
      <x:c r="D10" s="62" t="str">
        <x:v>miniapp 页面为“备货与发货”，healthz 为旧测试服务。</x:v>
      </x:c>
      <x:c r="E10" s="62" t="str">
        <x:v>入口虽然可打开，但不是第一次发布目标页面。</x:v>
      </x:c>
      <x:c r="F10" s="62" t="str">
        <x:v>替换主页产物或调整网关路由，并复测 PC/企微。</x:v>
      </x:c>
    </x:row>
    <x:row r="11">
      <x:c r="A11" s="62" t="str">
        <x:v>EX-07</x:v>
      </x:c>
      <x:c r="B11" s="62" t="str">
        <x:v>高</x:v>
      </x:c>
      <x:c r="C11" s="62" t="str">
        <x:v>新系统业务数据库未初始化</x:v>
      </x:c>
      <x:c r="D11" s="62" t="str">
        <x:v>pilot_business 无业务表，仓库迁移仅 001-002。</x:v>
      </x:c>
      <x:c r="E11" s="62" t="str">
        <x:v>无法持久化桥接业务数据和映射。</x:v>
      </x:c>
      <x:c r="F11" s="62" t="str">
        <x:v>明确首次发布需要的最小表集并执行可回滚迁移。</x:v>
      </x:c>
    </x:row>
    <x:row r="12">
      <x:c r="A12" s="62" t="str">
        <x:v>EX-08</x:v>
      </x:c>
      <x:c r="B12" s="62" t="str">
        <x:v>中</x:v>
      </x:c>
      <x:c r="C12" s="62" t="str">
        <x:v>旧系统运行方式偏开发态</x:v>
      </x:c>
      <x:c r="D12" s="62" t="str">
        <x:v>生产服务通过 npm run dev/tsx 启动，任务历史结果存在异常值。</x:v>
      </x:c>
      <x:c r="E12" s="62" t="str">
        <x:v>服务稳定性和可观测性不足。</x:v>
      </x:c>
      <x:c r="F12" s="62" t="str">
        <x:v>发布前固定启动命令、守护责任和健康检查。</x:v>
      </x:c>
    </x:row>
    <x:row r="13">
      <x:c r="A13" s="62" t="str">
        <x:v>EX-09</x:v>
      </x:c>
      <x:c r="B13" s="62" t="str">
        <x:v>中</x:v>
      </x:c>
      <x:c r="C13" s="62" t="str">
        <x:v>旧系统磁盘余量偏低</x:v>
      </x:c>
      <x:c r="D13" s="62" t="str">
        <x:v>C 盘约 40 GB，仅余约 5.44 GB。</x:v>
      </x:c>
      <x:c r="E13" s="62" t="str">
        <x:v>日志、合同和 JSONL 增长可能再次导致服务异常。</x:v>
      </x:c>
      <x:c r="F13" s="62" t="str">
        <x:v>设置磁盘阈值、保留策略和容量告警。</x:v>
      </x:c>
    </x:row>
    <x:row r="14">
      <x:c r="A14" s="62" t="str">
        <x:v>EX-10</x:v>
      </x:c>
      <x:c r="B14" s="62" t="str">
        <x:v>中</x:v>
      </x:c>
      <x:c r="C14" s="62" t="str">
        <x:v>JSONL 文件数与指南不一致</x:v>
      </x:c>
      <x:c r="D14" s="62" t="str">
        <x:v>指南按 16 个文件描述，现场实际 24 个，约 194.6 MB、135229 行。</x:v>
      </x:c>
      <x:c r="E14" s="62" t="str">
        <x:v>迁移/冻结清单可能漏文件。</x:v>
      </x:c>
      <x:c r="F14" s="62" t="str">
        <x:v>以现场 24 文件为基线更新迁移规格。</x:v>
      </x:c>
    </x:row>
    <x:row r="15">
      <x:c r="A15" s="62" t="str">
        <x:v>EX-11</x:v>
      </x:c>
      <x:c r="B15" s="62" t="str">
        <x:v>中</x:v>
      </x:c>
      <x:c r="C15" s="62" t="str">
        <x:v>历史文件引用缺失</x:v>
      </x:c>
      <x:c r="D15" s="62" t="str">
        <x:v>唯一合同引用缺失 862，其他业务附件缺失 292；系统证据文件亦有大量历史清理。</x:v>
      </x:c>
      <x:c r="E15" s="62" t="str">
        <x:v>历史下载和审计能力不完整。</x:v>
      </x:c>
      <x:c r="F15" s="62" t="str">
        <x:v>明确飞书附件为真相源，并补充历史文件留存策略。</x:v>
      </x:c>
    </x:row>
  </x:sheetData>
  <x:mergeCells>
    <x:mergeCell ref="A1:F1"/>
    <x:mergeCell ref="A2:F2"/>
  </x:mergeCells>
  <x:conditionalFormatting sqref="B5:B15">
    <x:cfRule type="containsText" dxfId="15" priority="1" operator="containsText" text="阻塞"/>
    <x:cfRule type="containsText" dxfId="16" priority="2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5864b31d7a9946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28" hidden="0" customWidth="1"/>
    <x:col min="5" max="5" width="18" hidden="0" customWidth="1"/>
  </x:cols>
  <x:sheetData>
    <x:row r="1" ht="32" customHeight="1">
      <x:c r="A1" s="3" t="str">
        <x:v>证据缺口清单</x:v>
      </x:c>
      <x:c r="B1" s="3"/>
      <x:c r="C1" s="3"/>
      <x:c r="D1" s="3"/>
      <x:c r="E1" s="3"/>
    </x:row>
    <x:row r="2" ht="26" customHeight="1">
      <x:c r="A2" s="6" t="str">
        <x:v>未取证项不得默认为通过；需补齐对应证据等级后更新结论</x:v>
      </x:c>
      <x:c r="B2" s="6"/>
      <x:c r="C2" s="6"/>
      <x:c r="D2" s="6"/>
      <x:c r="E2" s="6"/>
    </x:row>
    <x:row r="4" ht="28" customHeight="1">
      <x:c r="A4" s="53" t="str">
        <x:v>编号</x:v>
      </x:c>
      <x:c r="B4" s="54" t="str">
        <x:v>缺口</x:v>
      </x:c>
      <x:c r="C4" s="54" t="str">
        <x:v>当前情况</x:v>
      </x:c>
      <x:c r="D4" s="54" t="str">
        <x:v>需要补充的证据</x:v>
      </x:c>
      <x:c r="E4" s="55" t="str">
        <x:v>影响等级</x:v>
      </x:c>
    </x:row>
    <x:row r="5">
      <x:c r="A5" s="61" t="str">
        <x:v>GAP-01</x:v>
      </x:c>
      <x:c r="B5" s="61" t="str">
        <x:v>v0.1 OAuth 回调 URL</x:v>
      </x:c>
      <x:c r="C5" s="61" t="str">
        <x:v>未提供具体地址；当前白名单中未出现新系统域名。</x:v>
      </x:c>
      <x:c r="D5" s="61" t="str">
        <x:v>L2 后台截图</x:v>
      </x:c>
      <x:c r="E5" s="61" t="str">
        <x:v>阻塞</x:v>
      </x:c>
    </x:row>
    <x:row r="6">
      <x:c r="A6" s="62" t="str">
        <x:v>GAP-02</x:v>
      </x:c>
      <x:c r="B6" s="62" t="str">
        <x:v>TEST_SUPERVISOR / TEST_CHAIRMAN</x:v>
      </x:c>
      <x:c r="C6" s="62" t="str">
        <x:v>缺少真实姓名与 open_id 脱敏指纹。</x:v>
      </x:c>
      <x:c r="D6" s="62" t="str">
        <x:v>L2 配置确认</x:v>
      </x:c>
      <x:c r="E6" s="62" t="str">
        <x:v>阻塞</x:v>
      </x:c>
    </x:row>
    <x:row r="7">
      <x:c r="A7" s="62" t="str">
        <x:v>GAP-03</x:v>
      </x:c>
      <x:c r="B7" s="62" t="str">
        <x:v>企微可信 IP 后台截图</x:v>
      </x:c>
      <x:c r="C7" s="62" t="str">
        <x:v>API 不返回可信 IP 列表；已通过 121.40.226.192 调用成功间接验证。</x:v>
      </x:c>
      <x:c r="D7" s="62" t="str">
        <x:v>L2 后台截图</x:v>
      </x:c>
      <x:c r="E7" s="62" t="str">
        <x:v>非阻塞但需归档</x:v>
      </x:c>
    </x:row>
    <x:row r="8">
      <x:c r="A8" s="62" t="str">
        <x:v>GAP-04</x:v>
      </x:c>
      <x:c r="B8" s="62" t="str">
        <x:v>真实授权创建订单联调</x:v>
      </x:c>
      <x:c r="C8" s="62" t="str">
        <x:v>只读取证不允许写生产数据，因此未提交真实订单。</x:v>
      </x:c>
      <x:c r="D8" s="62" t="str">
        <x:v>测试环境 L1 联调证据</x:v>
      </x:c>
      <x:c r="E8" s="62" t="str">
        <x:v>阻塞</x:v>
      </x:c>
    </x:row>
    <x:row r="9">
      <x:c r="A9" s="62" t="str">
        <x:v>GAP-05</x:v>
      </x:c>
      <x:c r="B9" s="62" t="str">
        <x:v>PC 兜底目标 URL</x:v>
      </x:c>
      <x:c r="C9" s="62" t="str">
        <x:v>当前只有 miniapp 旧页面可达，未给出销售助理 PC 目标页。</x:v>
      </x:c>
      <x:c r="D9" s="62" t="str">
        <x:v>L2 产品/运维确认</x:v>
      </x:c>
      <x:c r="E9" s="62" t="str">
        <x:v>阻塞</x:v>
      </x:c>
    </x:row>
    <x:row r="10">
      <x:c r="A10" s="62" t="str">
        <x:v>GAP-06</x:v>
      </x:c>
      <x:c r="B10" s="62" t="str">
        <x:v>附件保留策略</x:v>
      </x:c>
      <x:c r="C10" s="62" t="str">
        <x:v>已确认存在历史清理，但无正式保留周期和真相源说明。</x:v>
      </x:c>
      <x:c r="D10" s="62" t="str">
        <x:v>L2 运维制度</x:v>
      </x:c>
      <x:c r="E10" s="62" t="str">
        <x:v>中</x:v>
      </x:c>
    </x:row>
    <x:row r="11">
      <x:c r="A11" s="62" t="str">
        <x:v>GAP-08</x:v>
      </x:c>
      <x:c r="B11" s="62" t="str">
        <x:v>旧系统守护恢复与磁盘告警证据</x:v>
      </x:c>
      <x:c r="C11" s="62" t="str">
        <x:v>服务可用，但以 npm run dev/tsx 运行，计划任务有异常历史结果，磁盘余量偏低。</x:v>
      </x:c>
      <x:c r="D11" s="62" t="str">
        <x:v>重启恢复演练记录、磁盘阈值和告警截图</x:v>
      </x:c>
      <x:c r="E11" s="62" t="str">
        <x:v>中</x:v>
      </x:c>
    </x:row>
    <x:row r="12">
      <x:c r="A12" s="62" t="str">
        <x:v>GAP-09</x:v>
      </x:c>
      <x:c r="B12" s="62" t="str">
        <x:v>V01 profile 实际配置</x:v>
      </x:c>
      <x:c r="C12" s="62" t="str">
        <x:v>approval_profiles 机制存在，但 V01 profile 尚未创建。</x:v>
      </x:c>
      <x:c r="D12" s="62" t="str">
        <x:v>配置文件变更、脱敏 diff 与测试验证</x:v>
      </x:c>
      <x:c r="E12" s="62" t="str">
        <x:v>阻塞</x:v>
      </x:c>
    </x:row>
    <x:row r="13">
      <x:c r="A13" s="62" t="str">
        <x:v>GAP-10</x:v>
      </x:c>
      <x:c r="B13" s="62" t="str">
        <x:v>B2B_V01_ 自动确认实现</x:v>
      </x:c>
      <x:c r="C13" s="62" t="str">
        <x:v>生产代码和 GitLab main 均未找到对应逻辑。</x:v>
      </x:c>
      <x:c r="D13" s="62" t="str">
        <x:v>代码提交、自动化测试和测试环境日志</x:v>
      </x:c>
      <x:c r="E13" s="62" t="str">
        <x:v>阻塞</x:v>
      </x:c>
    </x:row>
    <x:row r="14">
      <x:c r="A14" s="62" t="str">
        <x:v>GAP-11</x:v>
      </x:c>
      <x:c r="B14" s="62" t="str">
        <x:v>bridge 模块与数据库迁移</x:v>
      </x:c>
      <x:c r="C14" s="62" t="str">
        <x:v>新系统无 bridge/auth-url 源码，端点 404，业务库无业务表。</x:v>
      </x:c>
      <x:c r="D14" s="62" t="str">
        <x:v>唯一仓库提交、迁移清单、部署日志和接口返回</x:v>
      </x:c>
      <x:c r="E14" s="62" t="str">
        <x:v>阻塞</x:v>
      </x:c>
    </x:row>
    <x:row r="15">
      <x:c r="A15" s="62" t="str">
        <x:v>GAP-12</x:v>
      </x:c>
      <x:c r="B15" s="62" t="str">
        <x:v>pgAPI 真实端到端同步时延</x:v>
      </x:c>
      <x:c r="C15" s="62" t="str">
        <x:v>三表缺少可直接关联的统一更新时间；只能确认 30 分钟调度周期和最近合同同步任务约 22 秒。</x:v>
      </x:c>
      <x:c r="D15" s="62" t="str">
        <x:v>测试环境用一条受控记录记录多维表更新时间与 pgAPI 首次可见时间</x:v>
      </x:c>
      <x:c r="E15" s="62" t="str">
        <x:v>中</x:v>
      </x:c>
    </x:row>
  </x:sheetData>
  <x:mergeCells>
    <x:mergeCell ref="A1:E1"/>
    <x:mergeCell ref="A2:E2"/>
  </x:mergeCells>
  <x:conditionalFormatting sqref="E5:E15">
    <x:cfRule type="containsText" dxfId="17" priority="1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ce480c09406146bf"/>
  </x:tableParts>
</x:worksheet>
</file>